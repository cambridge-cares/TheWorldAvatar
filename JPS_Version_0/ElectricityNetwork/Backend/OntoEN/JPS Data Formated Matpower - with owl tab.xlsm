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ohn_A\Documents\J-Park Simulator Project\OWL\PhysicalOwl\"/>
    </mc:Choice>
  </mc:AlternateContent>
  <bookViews>
    <workbookView xWindow="0" yWindow="0" windowWidth="38400" windowHeight="17700" activeTab="1"/>
  </bookViews>
  <sheets>
    <sheet name="Bus Data" sheetId="2" r:id="rId1"/>
    <sheet name="ClassMapping" sheetId="9" r:id="rId2"/>
    <sheet name="ChemicalClass" sheetId="8" r:id="rId3"/>
    <sheet name="Sheet1" sheetId="7" r:id="rId4"/>
    <sheet name="Load Data" sheetId="6" r:id="rId5"/>
    <sheet name="Bus Max" sheetId="5" r:id="rId6"/>
    <sheet name="Branch Data" sheetId="3" r:id="rId7"/>
    <sheet name="Gen Data" sheetId="1" r:id="rId8"/>
    <sheet name="Bus Coord" sheetId="4" r:id="rId9"/>
  </sheets>
  <calcPr calcId="162913"/>
</workbook>
</file>

<file path=xl/calcChain.xml><?xml version="1.0" encoding="utf-8"?>
<calcChain xmlns="http://schemas.openxmlformats.org/spreadsheetml/2006/main">
  <c r="D208" i="9" l="1"/>
  <c r="C208" i="9"/>
  <c r="D182" i="9"/>
  <c r="C182" i="9"/>
  <c r="D156" i="9"/>
  <c r="C156" i="9"/>
  <c r="D155" i="9"/>
  <c r="C155" i="9"/>
  <c r="D106" i="9"/>
  <c r="C106" i="9"/>
  <c r="D66" i="9"/>
  <c r="C66" i="9"/>
  <c r="D65" i="9"/>
  <c r="C65" i="9"/>
  <c r="A4" i="9" l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D207" i="8" l="1"/>
  <c r="C207" i="8"/>
  <c r="D181" i="8"/>
  <c r="C181" i="8"/>
  <c r="D155" i="8"/>
  <c r="C155" i="8"/>
  <c r="D154" i="8"/>
  <c r="C154" i="8"/>
  <c r="D105" i="8"/>
  <c r="C105" i="8"/>
  <c r="D65" i="8"/>
  <c r="C65" i="8"/>
  <c r="D64" i="8"/>
  <c r="C64" i="8"/>
  <c r="A3" i="8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E210" i="7" l="1"/>
  <c r="D210" i="7"/>
  <c r="A3" i="7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A79" i="7" s="1"/>
  <c r="A80" i="7" s="1"/>
  <c r="A81" i="7" s="1"/>
  <c r="A82" i="7" s="1"/>
  <c r="A83" i="7" s="1"/>
  <c r="A84" i="7" s="1"/>
  <c r="A85" i="7" s="1"/>
  <c r="A86" i="7" s="1"/>
  <c r="A87" i="7" s="1"/>
  <c r="A88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  <c r="A101" i="7" s="1"/>
  <c r="A102" i="7" s="1"/>
  <c r="A103" i="7" s="1"/>
  <c r="A104" i="7" s="1"/>
  <c r="A105" i="7" s="1"/>
  <c r="A106" i="7" s="1"/>
  <c r="A107" i="7" s="1"/>
  <c r="A108" i="7" s="1"/>
  <c r="A109" i="7" s="1"/>
  <c r="A110" i="7" s="1"/>
  <c r="A111" i="7" s="1"/>
  <c r="A112" i="7" s="1"/>
  <c r="A113" i="7" s="1"/>
  <c r="A114" i="7" s="1"/>
  <c r="A115" i="7" s="1"/>
  <c r="A116" i="7" s="1"/>
  <c r="A117" i="7" s="1"/>
  <c r="A118" i="7" s="1"/>
  <c r="A119" i="7" s="1"/>
  <c r="A120" i="7" s="1"/>
  <c r="A121" i="7" s="1"/>
  <c r="A122" i="7" s="1"/>
  <c r="A123" i="7" s="1"/>
  <c r="A124" i="7" s="1"/>
  <c r="A125" i="7" s="1"/>
  <c r="A126" i="7" s="1"/>
  <c r="A127" i="7" s="1"/>
  <c r="A128" i="7" s="1"/>
  <c r="A129" i="7" s="1"/>
  <c r="A130" i="7" s="1"/>
  <c r="A131" i="7" s="1"/>
  <c r="A132" i="7" s="1"/>
  <c r="A133" i="7" s="1"/>
  <c r="A134" i="7" s="1"/>
  <c r="A135" i="7" s="1"/>
  <c r="A136" i="7" s="1"/>
  <c r="A137" i="7" s="1"/>
  <c r="A138" i="7" s="1"/>
  <c r="A139" i="7" s="1"/>
  <c r="A140" i="7" s="1"/>
  <c r="A141" i="7" s="1"/>
  <c r="A142" i="7" s="1"/>
  <c r="A143" i="7" s="1"/>
  <c r="A144" i="7" s="1"/>
  <c r="A145" i="7" s="1"/>
  <c r="A146" i="7" s="1"/>
  <c r="A147" i="7" s="1"/>
  <c r="A148" i="7" s="1"/>
  <c r="A149" i="7" s="1"/>
  <c r="A150" i="7" s="1"/>
  <c r="A151" i="7" s="1"/>
  <c r="A152" i="7" s="1"/>
  <c r="A153" i="7" s="1"/>
  <c r="A154" i="7" s="1"/>
  <c r="A155" i="7" s="1"/>
  <c r="A156" i="7" s="1"/>
  <c r="A157" i="7" s="1"/>
  <c r="A158" i="7" s="1"/>
  <c r="A159" i="7" s="1"/>
  <c r="A160" i="7" s="1"/>
  <c r="A161" i="7" s="1"/>
  <c r="A162" i="7" s="1"/>
  <c r="A163" i="7" s="1"/>
  <c r="A164" i="7" s="1"/>
  <c r="A165" i="7" s="1"/>
  <c r="A166" i="7" s="1"/>
  <c r="A167" i="7" s="1"/>
  <c r="A168" i="7" s="1"/>
  <c r="A169" i="7" s="1"/>
  <c r="A170" i="7" s="1"/>
  <c r="A171" i="7" s="1"/>
  <c r="A172" i="7" s="1"/>
  <c r="A173" i="7" s="1"/>
  <c r="A174" i="7" s="1"/>
  <c r="A175" i="7" s="1"/>
  <c r="A176" i="7" s="1"/>
  <c r="A177" i="7" s="1"/>
  <c r="A178" i="7" s="1"/>
  <c r="A179" i="7" s="1"/>
  <c r="A180" i="7" s="1"/>
  <c r="A181" i="7" s="1"/>
  <c r="A182" i="7" s="1"/>
  <c r="A183" i="7" s="1"/>
  <c r="A184" i="7" s="1"/>
  <c r="A185" i="7" s="1"/>
  <c r="A186" i="7" s="1"/>
  <c r="A187" i="7" s="1"/>
  <c r="A188" i="7" s="1"/>
  <c r="A189" i="7" s="1"/>
  <c r="A190" i="7" s="1"/>
  <c r="A191" i="7" s="1"/>
  <c r="A192" i="7" s="1"/>
  <c r="A193" i="7" s="1"/>
  <c r="A194" i="7" s="1"/>
  <c r="A195" i="7" s="1"/>
  <c r="A196" i="7" s="1"/>
  <c r="A197" i="7" s="1"/>
  <c r="A198" i="7" s="1"/>
  <c r="A199" i="7" s="1"/>
  <c r="A200" i="7" s="1"/>
  <c r="A201" i="7" s="1"/>
  <c r="A202" i="7" s="1"/>
  <c r="A203" i="7" s="1"/>
  <c r="A204" i="7" s="1"/>
  <c r="A205" i="7" s="1"/>
  <c r="A206" i="7" s="1"/>
  <c r="A207" i="7" s="1"/>
  <c r="A208" i="7" s="1"/>
  <c r="A209" i="7" s="1"/>
  <c r="D210" i="2"/>
  <c r="C210" i="2"/>
  <c r="AD3" i="2" l="1"/>
  <c r="AD4" i="2"/>
  <c r="AD5" i="2"/>
  <c r="AD6" i="2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8" i="2"/>
  <c r="AD99" i="2"/>
  <c r="AD100" i="2"/>
  <c r="AD101" i="2"/>
  <c r="AD102" i="2"/>
  <c r="AD103" i="2"/>
  <c r="AD104" i="2"/>
  <c r="AD105" i="2"/>
  <c r="AD106" i="2"/>
  <c r="AD107" i="2"/>
  <c r="AD108" i="2"/>
  <c r="AD109" i="2"/>
  <c r="AD110" i="2"/>
  <c r="AD111" i="2"/>
  <c r="AD112" i="2"/>
  <c r="AD113" i="2"/>
  <c r="AD114" i="2"/>
  <c r="AD115" i="2"/>
  <c r="AD116" i="2"/>
  <c r="AD117" i="2"/>
  <c r="AD118" i="2"/>
  <c r="AD119" i="2"/>
  <c r="AD120" i="2"/>
  <c r="AD121" i="2"/>
  <c r="AD122" i="2"/>
  <c r="AD123" i="2"/>
  <c r="AD124" i="2"/>
  <c r="AD125" i="2"/>
  <c r="AD126" i="2"/>
  <c r="AD127" i="2"/>
  <c r="AD128" i="2"/>
  <c r="AD129" i="2"/>
  <c r="AD130" i="2"/>
  <c r="AD131" i="2"/>
  <c r="AD132" i="2"/>
  <c r="AD133" i="2"/>
  <c r="AD134" i="2"/>
  <c r="AD135" i="2"/>
  <c r="AD136" i="2"/>
  <c r="AD137" i="2"/>
  <c r="AD138" i="2"/>
  <c r="AD139" i="2"/>
  <c r="AD140" i="2"/>
  <c r="AD141" i="2"/>
  <c r="AD142" i="2"/>
  <c r="AD143" i="2"/>
  <c r="AD144" i="2"/>
  <c r="AD145" i="2"/>
  <c r="AD146" i="2"/>
  <c r="AD147" i="2"/>
  <c r="AD148" i="2"/>
  <c r="AD149" i="2"/>
  <c r="AD150" i="2"/>
  <c r="AD151" i="2"/>
  <c r="AD152" i="2"/>
  <c r="AD153" i="2"/>
  <c r="AD154" i="2"/>
  <c r="AD155" i="2"/>
  <c r="AD156" i="2"/>
  <c r="AD157" i="2"/>
  <c r="AD158" i="2"/>
  <c r="AD159" i="2"/>
  <c r="AD160" i="2"/>
  <c r="AD161" i="2"/>
  <c r="AD162" i="2"/>
  <c r="AD163" i="2"/>
  <c r="AD164" i="2"/>
  <c r="AD165" i="2"/>
  <c r="AD166" i="2"/>
  <c r="AD167" i="2"/>
  <c r="AD168" i="2"/>
  <c r="AD169" i="2"/>
  <c r="AD170" i="2"/>
  <c r="AD171" i="2"/>
  <c r="AD172" i="2"/>
  <c r="AD173" i="2"/>
  <c r="AD174" i="2"/>
  <c r="AD175" i="2"/>
  <c r="AD176" i="2"/>
  <c r="AD177" i="2"/>
  <c r="AD178" i="2"/>
  <c r="AD179" i="2"/>
  <c r="AD180" i="2"/>
  <c r="AD181" i="2"/>
  <c r="AD182" i="2"/>
  <c r="AD183" i="2"/>
  <c r="AD184" i="2"/>
  <c r="AD185" i="2"/>
  <c r="AD186" i="2"/>
  <c r="AD187" i="2"/>
  <c r="AD188" i="2"/>
  <c r="AD189" i="2"/>
  <c r="AD190" i="2"/>
  <c r="AD191" i="2"/>
  <c r="AD192" i="2"/>
  <c r="AD193" i="2"/>
  <c r="AD194" i="2"/>
  <c r="AD195" i="2"/>
  <c r="AD196" i="2"/>
  <c r="AD197" i="2"/>
  <c r="AD198" i="2"/>
  <c r="AD199" i="2"/>
  <c r="AD200" i="2"/>
  <c r="AD201" i="2"/>
  <c r="AD202" i="2"/>
  <c r="AD203" i="2"/>
  <c r="AD204" i="2"/>
  <c r="AD205" i="2"/>
  <c r="AD206" i="2"/>
  <c r="AD207" i="2"/>
  <c r="AD208" i="2"/>
  <c r="AD209" i="2"/>
  <c r="AD2" i="2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115" i="6" s="1"/>
  <c r="A116" i="6" s="1"/>
  <c r="A117" i="6" s="1"/>
  <c r="A118" i="6" s="1"/>
  <c r="A119" i="6" s="1"/>
  <c r="A120" i="6" s="1"/>
  <c r="A121" i="6" s="1"/>
  <c r="A122" i="6" s="1"/>
  <c r="A123" i="6" s="1"/>
  <c r="A124" i="6" s="1"/>
  <c r="A125" i="6" s="1"/>
  <c r="A126" i="6" s="1"/>
  <c r="A127" i="6" s="1"/>
  <c r="A128" i="6" s="1"/>
  <c r="A129" i="6" s="1"/>
  <c r="A130" i="6" s="1"/>
  <c r="A131" i="6" s="1"/>
  <c r="A132" i="6" s="1"/>
  <c r="A133" i="6" s="1"/>
  <c r="A134" i="6" s="1"/>
  <c r="A135" i="6" s="1"/>
  <c r="A136" i="6" s="1"/>
  <c r="A137" i="6" s="1"/>
  <c r="A138" i="6" s="1"/>
  <c r="A139" i="6" s="1"/>
  <c r="A140" i="6" s="1"/>
  <c r="A141" i="6" s="1"/>
  <c r="A142" i="6" s="1"/>
  <c r="A143" i="6" s="1"/>
  <c r="A144" i="6" s="1"/>
  <c r="A145" i="6" s="1"/>
  <c r="A146" i="6" s="1"/>
  <c r="A147" i="6" s="1"/>
  <c r="A148" i="6" s="1"/>
  <c r="A149" i="6" s="1"/>
  <c r="A150" i="6" s="1"/>
  <c r="A151" i="6" s="1"/>
  <c r="A152" i="6" s="1"/>
  <c r="A153" i="6" s="1"/>
  <c r="A154" i="6" s="1"/>
  <c r="A155" i="6" s="1"/>
  <c r="A156" i="6" s="1"/>
  <c r="A157" i="6" s="1"/>
  <c r="A158" i="6" s="1"/>
  <c r="A159" i="6" s="1"/>
  <c r="A160" i="6" s="1"/>
  <c r="A161" i="6" s="1"/>
  <c r="A162" i="6" s="1"/>
  <c r="A163" i="6" s="1"/>
  <c r="A164" i="6" s="1"/>
  <c r="A165" i="6" s="1"/>
  <c r="A166" i="6" s="1"/>
  <c r="A167" i="6" s="1"/>
  <c r="A168" i="6" s="1"/>
  <c r="A169" i="6" s="1"/>
  <c r="A170" i="6" s="1"/>
  <c r="A171" i="6" s="1"/>
  <c r="A172" i="6" s="1"/>
  <c r="A173" i="6" s="1"/>
  <c r="A174" i="6" s="1"/>
  <c r="A175" i="6" s="1"/>
  <c r="A176" i="6" s="1"/>
  <c r="A177" i="6" s="1"/>
  <c r="A178" i="6" s="1"/>
  <c r="A179" i="6" s="1"/>
  <c r="A180" i="6" s="1"/>
  <c r="A181" i="6" s="1"/>
  <c r="A182" i="6" s="1"/>
  <c r="A183" i="6" s="1"/>
  <c r="A184" i="6" s="1"/>
  <c r="A185" i="6" s="1"/>
  <c r="A186" i="6" s="1"/>
  <c r="A187" i="6" s="1"/>
  <c r="A188" i="6" s="1"/>
  <c r="A189" i="6" s="1"/>
  <c r="A190" i="6" s="1"/>
  <c r="A191" i="6" s="1"/>
  <c r="A192" i="6" s="1"/>
  <c r="A193" i="6" s="1"/>
  <c r="A194" i="6" s="1"/>
  <c r="A195" i="6" s="1"/>
  <c r="A196" i="6" s="1"/>
  <c r="A197" i="6" s="1"/>
  <c r="A198" i="6" s="1"/>
  <c r="A199" i="6" s="1"/>
  <c r="A200" i="6" s="1"/>
  <c r="A201" i="6" s="1"/>
  <c r="A202" i="6" s="1"/>
  <c r="A203" i="6" s="1"/>
  <c r="A204" i="6" s="1"/>
  <c r="A205" i="6" s="1"/>
  <c r="A206" i="6" s="1"/>
  <c r="A207" i="6" s="1"/>
  <c r="A208" i="6" s="1"/>
  <c r="A209" i="6" s="1"/>
  <c r="A3" i="5" l="1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205" i="5" s="1"/>
  <c r="A206" i="5" s="1"/>
  <c r="A207" i="5" s="1"/>
  <c r="A208" i="5" s="1"/>
  <c r="A209" i="5" s="1"/>
  <c r="F7" i="3"/>
  <c r="F10" i="3"/>
  <c r="A4" i="2"/>
  <c r="A5" i="2"/>
  <c r="A6" i="2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/>
  <c r="A18" i="2"/>
  <c r="A19" i="2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R207" i="2" l="1"/>
  <c r="Q207" i="2"/>
  <c r="X177" i="2"/>
  <c r="V174" i="2"/>
  <c r="N175" i="3" l="1"/>
  <c r="R155" i="2"/>
  <c r="Q155" i="2"/>
  <c r="R154" i="2"/>
  <c r="Q154" i="2"/>
  <c r="R105" i="2" l="1"/>
  <c r="Q105" i="2"/>
  <c r="N133" i="3"/>
  <c r="R181" i="2"/>
  <c r="Q181" i="2"/>
  <c r="N20" i="3"/>
  <c r="F20" i="3"/>
  <c r="T20" i="3" s="1"/>
  <c r="X209" i="2"/>
  <c r="N218" i="3"/>
  <c r="R65" i="2"/>
  <c r="Q65" i="2"/>
  <c r="R64" i="2"/>
  <c r="Q64" i="2"/>
  <c r="X34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5" i="2"/>
  <c r="X36" i="2"/>
  <c r="X37" i="2"/>
  <c r="X38" i="2"/>
  <c r="X39" i="2"/>
  <c r="X40" i="2"/>
  <c r="X41" i="2"/>
  <c r="X45" i="2"/>
  <c r="X46" i="2"/>
  <c r="X47" i="2"/>
  <c r="X48" i="2"/>
  <c r="X49" i="2"/>
  <c r="X50" i="2"/>
  <c r="X51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1" i="2"/>
  <c r="X132" i="2"/>
  <c r="X133" i="2"/>
  <c r="X134" i="2"/>
  <c r="X135" i="2"/>
  <c r="X136" i="2"/>
  <c r="X137" i="2"/>
  <c r="X138" i="2"/>
  <c r="X139" i="2"/>
  <c r="X140" i="2"/>
  <c r="X141" i="2"/>
  <c r="X143" i="2"/>
  <c r="X144" i="2"/>
  <c r="X145" i="2"/>
  <c r="X146" i="2"/>
  <c r="X147" i="2"/>
  <c r="X148" i="2"/>
  <c r="X150" i="2"/>
  <c r="X152" i="2"/>
  <c r="X153" i="2"/>
  <c r="X154" i="2"/>
  <c r="X155" i="2"/>
  <c r="X156" i="2"/>
  <c r="X157" i="2"/>
  <c r="X158" i="2"/>
  <c r="X159" i="2"/>
  <c r="X162" i="2"/>
  <c r="X163" i="2"/>
  <c r="X172" i="2"/>
  <c r="X173" i="2"/>
  <c r="X175" i="2"/>
  <c r="X178" i="2"/>
  <c r="X180" i="2"/>
  <c r="X182" i="2"/>
  <c r="X183" i="2"/>
  <c r="X185" i="2"/>
  <c r="X186" i="2"/>
  <c r="X187" i="2"/>
  <c r="X188" i="2"/>
  <c r="X190" i="2"/>
  <c r="X191" i="2"/>
  <c r="X192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" i="2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8" i="3"/>
  <c r="N99" i="3"/>
  <c r="N100" i="3"/>
  <c r="N101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9" i="3"/>
  <c r="N220" i="3"/>
  <c r="N2" i="3"/>
  <c r="V175" i="2" l="1"/>
  <c r="W175" i="2" s="1"/>
  <c r="V168" i="2"/>
  <c r="W168" i="2" s="1"/>
  <c r="V88" i="2"/>
  <c r="W88" i="2"/>
  <c r="V7" i="2"/>
  <c r="W7" i="2"/>
  <c r="V184" i="2"/>
  <c r="W184" i="2" s="1"/>
  <c r="V87" i="2"/>
  <c r="W87" i="2" s="1"/>
  <c r="V199" i="2"/>
  <c r="W199" i="2" s="1"/>
  <c r="V166" i="2"/>
  <c r="W166" i="2" s="1"/>
  <c r="V86" i="2"/>
  <c r="W86" i="2" s="1"/>
  <c r="V70" i="2"/>
  <c r="W70" i="2"/>
  <c r="V101" i="2"/>
  <c r="W101" i="2" s="1"/>
  <c r="V197" i="2"/>
  <c r="W197" i="2"/>
  <c r="V132" i="2"/>
  <c r="W132" i="2" s="1"/>
  <c r="V68" i="2"/>
  <c r="W68" i="2" s="1"/>
  <c r="V180" i="2"/>
  <c r="W180" i="2" s="1"/>
  <c r="V147" i="2"/>
  <c r="W147" i="2" s="1"/>
  <c r="V131" i="2"/>
  <c r="W131" i="2" s="1"/>
  <c r="V115" i="2"/>
  <c r="W115" i="2" s="1"/>
  <c r="V99" i="2"/>
  <c r="W99" i="2" s="1"/>
  <c r="V83" i="2"/>
  <c r="W83" i="2" s="1"/>
  <c r="V67" i="2"/>
  <c r="W67" i="2" s="1"/>
  <c r="V51" i="2"/>
  <c r="W51" i="2"/>
  <c r="V35" i="2"/>
  <c r="W35" i="2" s="1"/>
  <c r="W18" i="2"/>
  <c r="V18" i="2"/>
  <c r="V195" i="2"/>
  <c r="W195" i="2"/>
  <c r="X179" i="2"/>
  <c r="V178" i="2"/>
  <c r="W178" i="2" s="1"/>
  <c r="V162" i="2"/>
  <c r="W162" i="2" s="1"/>
  <c r="W146" i="2"/>
  <c r="V146" i="2"/>
  <c r="V130" i="2"/>
  <c r="W130" i="2" s="1"/>
  <c r="V114" i="2"/>
  <c r="W114" i="2" s="1"/>
  <c r="V98" i="2"/>
  <c r="W98" i="2" s="1"/>
  <c r="W82" i="2"/>
  <c r="V82" i="2"/>
  <c r="V66" i="2"/>
  <c r="W66" i="2" s="1"/>
  <c r="V50" i="2"/>
  <c r="W50" i="2"/>
  <c r="V33" i="2"/>
  <c r="W33" i="2"/>
  <c r="V17" i="2"/>
  <c r="W17" i="2"/>
  <c r="V194" i="2"/>
  <c r="W194" i="2" s="1"/>
  <c r="V177" i="2"/>
  <c r="W177" i="2" s="1"/>
  <c r="V161" i="2"/>
  <c r="W161" i="2" s="1"/>
  <c r="V145" i="2"/>
  <c r="W145" i="2"/>
  <c r="V129" i="2"/>
  <c r="W129" i="2" s="1"/>
  <c r="V113" i="2"/>
  <c r="W113" i="2"/>
  <c r="V97" i="2"/>
  <c r="W97" i="2"/>
  <c r="V81" i="2"/>
  <c r="W81" i="2" s="1"/>
  <c r="V65" i="2"/>
  <c r="W65" i="2" s="1"/>
  <c r="V49" i="2"/>
  <c r="W49" i="2" s="1"/>
  <c r="V32" i="2"/>
  <c r="W32" i="2" s="1"/>
  <c r="W16" i="2"/>
  <c r="V16" i="2"/>
  <c r="V5" i="2"/>
  <c r="W5" i="2"/>
  <c r="V120" i="2"/>
  <c r="W120" i="2" s="1"/>
  <c r="V40" i="2"/>
  <c r="W40" i="2" s="1"/>
  <c r="V167" i="2"/>
  <c r="W167" i="2" s="1"/>
  <c r="V39" i="2"/>
  <c r="W39" i="2" s="1"/>
  <c r="V183" i="2"/>
  <c r="W183" i="2" s="1"/>
  <c r="V38" i="2"/>
  <c r="W38" i="2" s="1"/>
  <c r="V198" i="2"/>
  <c r="W198" i="2"/>
  <c r="V117" i="2"/>
  <c r="W117" i="2" s="1"/>
  <c r="V37" i="2"/>
  <c r="W37" i="2"/>
  <c r="V181" i="2"/>
  <c r="W181" i="2" s="1"/>
  <c r="V84" i="2"/>
  <c r="W84" i="2" s="1"/>
  <c r="V19" i="2"/>
  <c r="W19" i="2"/>
  <c r="V2" i="2"/>
  <c r="W2" i="2" s="1"/>
  <c r="V112" i="2"/>
  <c r="W112" i="2" s="1"/>
  <c r="V95" i="2"/>
  <c r="W95" i="2" s="1"/>
  <c r="V30" i="2"/>
  <c r="W30" i="2"/>
  <c r="V110" i="2"/>
  <c r="W110" i="2" s="1"/>
  <c r="V206" i="2"/>
  <c r="W206" i="2" s="1"/>
  <c r="V190" i="2"/>
  <c r="W190" i="2" s="1"/>
  <c r="V173" i="2"/>
  <c r="W173" i="2"/>
  <c r="V157" i="2"/>
  <c r="W157" i="2"/>
  <c r="V141" i="2"/>
  <c r="W141" i="2"/>
  <c r="V125" i="2"/>
  <c r="W125" i="2" s="1"/>
  <c r="V109" i="2"/>
  <c r="W109" i="2" s="1"/>
  <c r="V93" i="2"/>
  <c r="W93" i="2"/>
  <c r="V77" i="2"/>
  <c r="W77" i="2" s="1"/>
  <c r="V61" i="2"/>
  <c r="W61" i="2"/>
  <c r="V45" i="2"/>
  <c r="W45" i="2" s="1"/>
  <c r="V28" i="2"/>
  <c r="W28" i="2"/>
  <c r="V12" i="2"/>
  <c r="W12" i="2"/>
  <c r="W136" i="2"/>
  <c r="V136" i="2"/>
  <c r="V23" i="2"/>
  <c r="W23" i="2"/>
  <c r="V135" i="2"/>
  <c r="W135" i="2" s="1"/>
  <c r="V55" i="2"/>
  <c r="W55" i="2"/>
  <c r="V134" i="2"/>
  <c r="W134" i="2" s="1"/>
  <c r="V165" i="2"/>
  <c r="W165" i="2"/>
  <c r="V53" i="2"/>
  <c r="W53" i="2" s="1"/>
  <c r="V148" i="2"/>
  <c r="W148" i="2" s="1"/>
  <c r="V52" i="2"/>
  <c r="W52" i="2" s="1"/>
  <c r="V196" i="2"/>
  <c r="W196" i="2" s="1"/>
  <c r="V176" i="2"/>
  <c r="W176" i="2" s="1"/>
  <c r="V96" i="2"/>
  <c r="W96" i="2" s="1"/>
  <c r="V48" i="2"/>
  <c r="W48" i="2"/>
  <c r="V208" i="2"/>
  <c r="W208" i="2" s="1"/>
  <c r="W143" i="2"/>
  <c r="V143" i="2"/>
  <c r="V47" i="2"/>
  <c r="W47" i="2" s="1"/>
  <c r="V207" i="2"/>
  <c r="W207" i="2" s="1"/>
  <c r="V126" i="2"/>
  <c r="W126" i="2" s="1"/>
  <c r="V62" i="2"/>
  <c r="W62" i="2"/>
  <c r="V13" i="2"/>
  <c r="W13" i="2"/>
  <c r="V205" i="2"/>
  <c r="W205" i="2" s="1"/>
  <c r="V189" i="2"/>
  <c r="W189" i="2" s="1"/>
  <c r="V172" i="2"/>
  <c r="W172" i="2"/>
  <c r="V156" i="2"/>
  <c r="W156" i="2" s="1"/>
  <c r="V140" i="2"/>
  <c r="W140" i="2"/>
  <c r="V124" i="2"/>
  <c r="W124" i="2" s="1"/>
  <c r="V108" i="2"/>
  <c r="W108" i="2" s="1"/>
  <c r="V92" i="2"/>
  <c r="W92" i="2"/>
  <c r="V76" i="2"/>
  <c r="W76" i="2" s="1"/>
  <c r="V60" i="2"/>
  <c r="W60" i="2" s="1"/>
  <c r="V44" i="2"/>
  <c r="W44" i="2" s="1"/>
  <c r="W27" i="2"/>
  <c r="V27" i="2"/>
  <c r="V11" i="2"/>
  <c r="W11" i="2"/>
  <c r="V185" i="2"/>
  <c r="W185" i="2"/>
  <c r="V104" i="2"/>
  <c r="W104" i="2" s="1"/>
  <c r="V56" i="2"/>
  <c r="W56" i="2"/>
  <c r="V200" i="2"/>
  <c r="W200" i="2"/>
  <c r="V103" i="2"/>
  <c r="W103" i="2" s="1"/>
  <c r="V22" i="2"/>
  <c r="W22" i="2"/>
  <c r="V102" i="2"/>
  <c r="W102" i="2" s="1"/>
  <c r="V21" i="2"/>
  <c r="W21" i="2"/>
  <c r="V182" i="2"/>
  <c r="W182" i="2" s="1"/>
  <c r="V85" i="2"/>
  <c r="W85" i="2" s="1"/>
  <c r="V20" i="2"/>
  <c r="W20" i="2"/>
  <c r="V116" i="2"/>
  <c r="W116" i="2" s="1"/>
  <c r="V36" i="2"/>
  <c r="W36" i="2" s="1"/>
  <c r="V163" i="2"/>
  <c r="W163" i="2" s="1"/>
  <c r="V193" i="2"/>
  <c r="W193" i="2" s="1"/>
  <c r="V144" i="2"/>
  <c r="W144" i="2"/>
  <c r="W80" i="2"/>
  <c r="V80" i="2"/>
  <c r="V31" i="2"/>
  <c r="W31" i="2" s="1"/>
  <c r="V127" i="2"/>
  <c r="W127" i="2" s="1"/>
  <c r="V63" i="2"/>
  <c r="W63" i="2" s="1"/>
  <c r="V4" i="2"/>
  <c r="W4" i="2"/>
  <c r="V142" i="2"/>
  <c r="W142" i="2" s="1"/>
  <c r="V204" i="2"/>
  <c r="W204" i="2" s="1"/>
  <c r="V188" i="2"/>
  <c r="W188" i="2"/>
  <c r="V171" i="2"/>
  <c r="W171" i="2" s="1"/>
  <c r="V155" i="2"/>
  <c r="W155" i="2" s="1"/>
  <c r="V139" i="2"/>
  <c r="W139" i="2" s="1"/>
  <c r="V123" i="2"/>
  <c r="W123" i="2" s="1"/>
  <c r="V107" i="2"/>
  <c r="W107" i="2" s="1"/>
  <c r="V91" i="2"/>
  <c r="W91" i="2" s="1"/>
  <c r="V75" i="2"/>
  <c r="W75" i="2"/>
  <c r="V59" i="2"/>
  <c r="W59" i="2" s="1"/>
  <c r="V43" i="2"/>
  <c r="W43" i="2"/>
  <c r="W26" i="2"/>
  <c r="V26" i="2"/>
  <c r="V10" i="2"/>
  <c r="W10" i="2"/>
  <c r="W3" i="2"/>
  <c r="V3" i="2"/>
  <c r="V201" i="2"/>
  <c r="W201" i="2" s="1"/>
  <c r="V72" i="2"/>
  <c r="W72" i="2" s="1"/>
  <c r="V119" i="2"/>
  <c r="W119" i="2" s="1"/>
  <c r="V150" i="2"/>
  <c r="W150" i="2" s="1"/>
  <c r="V54" i="2"/>
  <c r="W54" i="2" s="1"/>
  <c r="V133" i="2"/>
  <c r="W133" i="2" s="1"/>
  <c r="V100" i="2"/>
  <c r="W100" i="2" s="1"/>
  <c r="V6" i="2"/>
  <c r="W6" i="2"/>
  <c r="V128" i="2"/>
  <c r="W128" i="2" s="1"/>
  <c r="V192" i="2"/>
  <c r="W192" i="2" s="1"/>
  <c r="V111" i="2"/>
  <c r="W111" i="2" s="1"/>
  <c r="V14" i="2"/>
  <c r="W14" i="2"/>
  <c r="V191" i="2"/>
  <c r="W191" i="2" s="1"/>
  <c r="V158" i="2"/>
  <c r="W158" i="2"/>
  <c r="V78" i="2"/>
  <c r="W78" i="2" s="1"/>
  <c r="V46" i="2"/>
  <c r="W46" i="2" s="1"/>
  <c r="V203" i="2"/>
  <c r="W203" i="2"/>
  <c r="W187" i="2"/>
  <c r="V187" i="2"/>
  <c r="V170" i="2"/>
  <c r="W170" i="2" s="1"/>
  <c r="V154" i="2"/>
  <c r="W154" i="2" s="1"/>
  <c r="V138" i="2"/>
  <c r="W138" i="2" s="1"/>
  <c r="V122" i="2"/>
  <c r="W122" i="2" s="1"/>
  <c r="V106" i="2"/>
  <c r="W106" i="2" s="1"/>
  <c r="V90" i="2"/>
  <c r="W90" i="2" s="1"/>
  <c r="V74" i="2"/>
  <c r="W74" i="2" s="1"/>
  <c r="W58" i="2"/>
  <c r="V58" i="2"/>
  <c r="V42" i="2"/>
  <c r="W42" i="2" s="1"/>
  <c r="V25" i="2"/>
  <c r="W25" i="2"/>
  <c r="V9" i="2"/>
  <c r="W9" i="2"/>
  <c r="V34" i="2"/>
  <c r="W34" i="2" s="1"/>
  <c r="V152" i="2"/>
  <c r="W152" i="2"/>
  <c r="V151" i="2"/>
  <c r="W151" i="2"/>
  <c r="V71" i="2"/>
  <c r="W71" i="2" s="1"/>
  <c r="V118" i="2"/>
  <c r="W118" i="2" s="1"/>
  <c r="V149" i="2"/>
  <c r="W149" i="2" s="1"/>
  <c r="V69" i="2"/>
  <c r="W69" i="2"/>
  <c r="V164" i="2"/>
  <c r="W164" i="2" s="1"/>
  <c r="W209" i="2"/>
  <c r="V160" i="2"/>
  <c r="W160" i="2" s="1"/>
  <c r="V64" i="2"/>
  <c r="W64" i="2" s="1"/>
  <c r="W15" i="2"/>
  <c r="V15" i="2"/>
  <c r="V159" i="2"/>
  <c r="W159" i="2" s="1"/>
  <c r="W79" i="2"/>
  <c r="V79" i="2"/>
  <c r="W174" i="2"/>
  <c r="V94" i="2"/>
  <c r="W94" i="2" s="1"/>
  <c r="V29" i="2"/>
  <c r="W29" i="2"/>
  <c r="V202" i="2"/>
  <c r="W202" i="2" s="1"/>
  <c r="V186" i="2"/>
  <c r="W186" i="2" s="1"/>
  <c r="V169" i="2"/>
  <c r="W169" i="2" s="1"/>
  <c r="V153" i="2"/>
  <c r="W153" i="2" s="1"/>
  <c r="V137" i="2"/>
  <c r="W137" i="2" s="1"/>
  <c r="V121" i="2"/>
  <c r="W121" i="2" s="1"/>
  <c r="V105" i="2"/>
  <c r="W105" i="2" s="1"/>
  <c r="V89" i="2"/>
  <c r="W89" i="2" s="1"/>
  <c r="V73" i="2"/>
  <c r="W73" i="2"/>
  <c r="V57" i="2"/>
  <c r="W57" i="2" s="1"/>
  <c r="V41" i="2"/>
  <c r="W41" i="2" s="1"/>
  <c r="W24" i="2"/>
  <c r="V24" i="2"/>
  <c r="W8" i="2"/>
  <c r="V8" i="2"/>
  <c r="I16" i="1"/>
  <c r="V179" i="2" l="1"/>
  <c r="W179" i="2" s="1"/>
  <c r="W210" i="2" s="1"/>
  <c r="F97" i="3" l="1"/>
  <c r="T97" i="3" s="1"/>
  <c r="AD15" i="3" l="1"/>
  <c r="AD16" i="3"/>
  <c r="AD17" i="3"/>
  <c r="AD18" i="3"/>
  <c r="AD19" i="3"/>
  <c r="AD20" i="3"/>
  <c r="AA6" i="3" s="1"/>
  <c r="AD21" i="3"/>
  <c r="AD14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A7" i="3" s="1"/>
  <c r="AE41" i="3"/>
  <c r="AE27" i="3"/>
  <c r="AE48" i="3"/>
  <c r="AE49" i="3"/>
  <c r="AE50" i="3"/>
  <c r="AE51" i="3"/>
  <c r="AE52" i="3"/>
  <c r="AE53" i="3"/>
  <c r="AE54" i="3"/>
  <c r="AA8" i="3" s="1"/>
  <c r="AE55" i="3"/>
  <c r="AE47" i="3"/>
  <c r="C16" i="1" l="1"/>
  <c r="B16" i="1"/>
  <c r="A3" i="2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" i="4"/>
  <c r="Z18" i="3" l="1"/>
  <c r="Z19" i="3"/>
  <c r="Z20" i="3"/>
  <c r="Z21" i="3"/>
  <c r="Z27" i="3"/>
  <c r="AC27" i="3"/>
  <c r="Z28" i="3"/>
  <c r="AC28" i="3"/>
  <c r="Z29" i="3"/>
  <c r="AC29" i="3"/>
  <c r="Z30" i="3"/>
  <c r="AC30" i="3"/>
  <c r="Z31" i="3"/>
  <c r="AC31" i="3"/>
  <c r="Z32" i="3"/>
  <c r="AC32" i="3"/>
  <c r="Z33" i="3"/>
  <c r="AC33" i="3"/>
  <c r="Z34" i="3"/>
  <c r="AC34" i="3"/>
  <c r="Z35" i="3"/>
  <c r="AC35" i="3"/>
  <c r="Z36" i="3"/>
  <c r="AC36" i="3"/>
  <c r="Z37" i="3"/>
  <c r="AC37" i="3"/>
  <c r="Z38" i="3"/>
  <c r="AC38" i="3"/>
  <c r="Z39" i="3"/>
  <c r="AC39" i="3"/>
  <c r="Z40" i="3"/>
  <c r="AC40" i="3"/>
  <c r="Z41" i="3"/>
  <c r="AC41" i="3"/>
  <c r="Z47" i="3"/>
  <c r="AC47" i="3"/>
  <c r="Z48" i="3"/>
  <c r="AC48" i="3"/>
  <c r="Z49" i="3"/>
  <c r="AC49" i="3"/>
  <c r="Z50" i="3"/>
  <c r="AC50" i="3"/>
  <c r="Z51" i="3"/>
  <c r="AC51" i="3"/>
  <c r="Z52" i="3"/>
  <c r="AC52" i="3"/>
  <c r="Z53" i="3"/>
  <c r="AC53" i="3"/>
  <c r="Z54" i="3"/>
  <c r="AC54" i="3"/>
  <c r="Z55" i="3"/>
  <c r="AC55" i="3"/>
  <c r="AA62" i="3"/>
  <c r="D20" i="3" s="1"/>
  <c r="AA63" i="3"/>
  <c r="D97" i="3" s="1"/>
  <c r="F28" i="3"/>
  <c r="T28" i="3" s="1"/>
  <c r="F29" i="3"/>
  <c r="T29" i="3" s="1"/>
  <c r="F30" i="3"/>
  <c r="T30" i="3" s="1"/>
  <c r="F31" i="3"/>
  <c r="T31" i="3" s="1"/>
  <c r="F32" i="3"/>
  <c r="T32" i="3" s="1"/>
  <c r="F27" i="3"/>
  <c r="T27" i="3" s="1"/>
  <c r="F24" i="3"/>
  <c r="T24" i="3" s="1"/>
  <c r="F25" i="3"/>
  <c r="T25" i="3" s="1"/>
  <c r="F23" i="3"/>
  <c r="T23" i="3" s="1"/>
  <c r="F147" i="3" l="1"/>
  <c r="T147" i="3" s="1"/>
  <c r="F142" i="3"/>
  <c r="T142" i="3" s="1"/>
  <c r="F145" i="3"/>
  <c r="T145" i="3" s="1"/>
  <c r="F138" i="3"/>
  <c r="T138" i="3" s="1"/>
  <c r="F176" i="3"/>
  <c r="T176" i="3" s="1"/>
  <c r="F146" i="3"/>
  <c r="T146" i="3" s="1"/>
  <c r="F140" i="3"/>
  <c r="T140" i="3" s="1"/>
  <c r="F141" i="3"/>
  <c r="T141" i="3" s="1"/>
  <c r="F13" i="3"/>
  <c r="T13" i="3" s="1"/>
  <c r="F19" i="3"/>
  <c r="T19" i="3" s="1"/>
  <c r="F53" i="3"/>
  <c r="T53" i="3" s="1"/>
  <c r="F181" i="3"/>
  <c r="T181" i="3" s="1"/>
  <c r="F182" i="3"/>
  <c r="T182" i="3" s="1"/>
  <c r="F179" i="3"/>
  <c r="T179" i="3" s="1"/>
  <c r="F183" i="3"/>
  <c r="T183" i="3" s="1"/>
  <c r="F180" i="3"/>
  <c r="T180" i="3" s="1"/>
  <c r="F178" i="3"/>
  <c r="T178" i="3" s="1"/>
  <c r="F59" i="3"/>
  <c r="T59" i="3" s="1"/>
  <c r="F133" i="3"/>
  <c r="T133" i="3" s="1"/>
  <c r="F175" i="3"/>
  <c r="T175" i="3" s="1"/>
  <c r="F172" i="3"/>
  <c r="T172" i="3" s="1"/>
  <c r="F69" i="3"/>
  <c r="T69" i="3" s="1"/>
  <c r="F131" i="3"/>
  <c r="T131" i="3" s="1"/>
  <c r="F132" i="3"/>
  <c r="T132" i="3" s="1"/>
  <c r="F71" i="3"/>
  <c r="T71" i="3" s="1"/>
  <c r="F196" i="3"/>
  <c r="T196" i="3" s="1"/>
  <c r="F195" i="3"/>
  <c r="T195" i="3" s="1"/>
  <c r="F99" i="3"/>
  <c r="T99" i="3" s="1"/>
  <c r="F98" i="3"/>
  <c r="T98" i="3" s="1"/>
  <c r="F218" i="3"/>
  <c r="T218" i="3" s="1"/>
  <c r="F101" i="3"/>
  <c r="T101" i="3" s="1"/>
  <c r="F96" i="3"/>
  <c r="T96" i="3" s="1"/>
  <c r="F22" i="3"/>
  <c r="T22" i="3" s="1"/>
  <c r="F12" i="3"/>
  <c r="T12" i="3" s="1"/>
  <c r="F123" i="3"/>
  <c r="T123" i="3" s="1"/>
  <c r="F220" i="3"/>
  <c r="T220" i="3" s="1"/>
  <c r="F8" i="3"/>
  <c r="T8" i="3" s="1"/>
  <c r="F170" i="3"/>
  <c r="T170" i="3" s="1"/>
  <c r="F205" i="3"/>
  <c r="T205" i="3" s="1"/>
  <c r="F48" i="3"/>
  <c r="T48" i="3" s="1"/>
  <c r="F73" i="3"/>
  <c r="T73" i="3" s="1"/>
  <c r="F49" i="3"/>
  <c r="T49" i="3" s="1"/>
  <c r="F17" i="3"/>
  <c r="T17" i="3" s="1"/>
  <c r="F11" i="3"/>
  <c r="T11" i="3" s="1"/>
  <c r="F9" i="3"/>
  <c r="T9" i="3" s="1"/>
  <c r="F4" i="3"/>
  <c r="T4" i="3" s="1"/>
  <c r="F81" i="3"/>
  <c r="T81" i="3" s="1"/>
  <c r="F164" i="3"/>
  <c r="T164" i="3" s="1"/>
  <c r="D32" i="3"/>
  <c r="D31" i="3"/>
  <c r="AB62" i="3"/>
  <c r="C20" i="3" s="1"/>
  <c r="D25" i="3"/>
  <c r="D24" i="3"/>
  <c r="D30" i="3"/>
  <c r="D29" i="3"/>
  <c r="D27" i="3"/>
  <c r="D23" i="3"/>
  <c r="F3" i="3"/>
  <c r="F5" i="3"/>
  <c r="T5" i="3" s="1"/>
  <c r="F34" i="3"/>
  <c r="T34" i="3" s="1"/>
  <c r="F116" i="3"/>
  <c r="T116" i="3" s="1"/>
  <c r="F155" i="3"/>
  <c r="T155" i="3" s="1"/>
  <c r="F154" i="3"/>
  <c r="T154" i="3" s="1"/>
  <c r="F216" i="3"/>
  <c r="T216" i="3" s="1"/>
  <c r="F139" i="3"/>
  <c r="T139" i="3" s="1"/>
  <c r="F122" i="3"/>
  <c r="T122" i="3" s="1"/>
  <c r="F89" i="3"/>
  <c r="T89" i="3" s="1"/>
  <c r="F121" i="3"/>
  <c r="T121" i="3" s="1"/>
  <c r="F106" i="3"/>
  <c r="T106" i="3" s="1"/>
  <c r="F105" i="3"/>
  <c r="T105" i="3" s="1"/>
  <c r="F217" i="3"/>
  <c r="T217" i="3" s="1"/>
  <c r="F90" i="3"/>
  <c r="T90" i="3" s="1"/>
  <c r="F200" i="3"/>
  <c r="T200" i="3" s="1"/>
  <c r="F75" i="3"/>
  <c r="T75" i="3" s="1"/>
  <c r="F186" i="3"/>
  <c r="T186" i="3" s="1"/>
  <c r="F62" i="3"/>
  <c r="T62" i="3" s="1"/>
  <c r="F185" i="3"/>
  <c r="T185" i="3" s="1"/>
  <c r="F61" i="3"/>
  <c r="T61" i="3" s="1"/>
  <c r="F76" i="3"/>
  <c r="T76" i="3" s="1"/>
  <c r="F201" i="3"/>
  <c r="T201" i="3" s="1"/>
  <c r="F169" i="3"/>
  <c r="T169" i="3" s="1"/>
  <c r="F47" i="3"/>
  <c r="T47" i="3" s="1"/>
  <c r="F151" i="3"/>
  <c r="T151" i="3" s="1"/>
  <c r="F118" i="3"/>
  <c r="T118" i="3" s="1"/>
  <c r="F58" i="3"/>
  <c r="T58" i="3" s="1"/>
  <c r="F212" i="3"/>
  <c r="T212" i="3" s="1"/>
  <c r="F134" i="3"/>
  <c r="T134" i="3" s="1"/>
  <c r="F57" i="3"/>
  <c r="T57" i="3" s="1"/>
  <c r="F149" i="3"/>
  <c r="T149" i="3" s="1"/>
  <c r="F100" i="3"/>
  <c r="T100" i="3" s="1"/>
  <c r="F163" i="3"/>
  <c r="T163" i="3" s="1"/>
  <c r="F85" i="3"/>
  <c r="T85" i="3" s="1"/>
  <c r="F41" i="3"/>
  <c r="T41" i="3" s="1"/>
  <c r="F194" i="3"/>
  <c r="T194" i="3" s="1"/>
  <c r="F114" i="3"/>
  <c r="T114" i="3" s="1"/>
  <c r="F193" i="3"/>
  <c r="T193" i="3" s="1"/>
  <c r="F202" i="3"/>
  <c r="T202" i="3" s="1"/>
  <c r="F187" i="3"/>
  <c r="T187" i="3" s="1"/>
  <c r="F171" i="3"/>
  <c r="T171" i="3" s="1"/>
  <c r="F156" i="3"/>
  <c r="T156" i="3" s="1"/>
  <c r="F107" i="3"/>
  <c r="T107" i="3" s="1"/>
  <c r="F91" i="3"/>
  <c r="T91" i="3" s="1"/>
  <c r="F77" i="3"/>
  <c r="T77" i="3" s="1"/>
  <c r="F63" i="3"/>
  <c r="T63" i="3" s="1"/>
  <c r="F43" i="3"/>
  <c r="T43" i="3" s="1"/>
  <c r="F42" i="3"/>
  <c r="T42" i="3" s="1"/>
  <c r="F199" i="3"/>
  <c r="T199" i="3" s="1"/>
  <c r="F137" i="3"/>
  <c r="T137" i="3" s="1"/>
  <c r="F60" i="3"/>
  <c r="T60" i="3" s="1"/>
  <c r="F103" i="3"/>
  <c r="T103" i="3" s="1"/>
  <c r="F102" i="3"/>
  <c r="T102" i="3" s="1"/>
  <c r="F117" i="3"/>
  <c r="T117" i="3" s="1"/>
  <c r="F84" i="3"/>
  <c r="T84" i="3" s="1"/>
  <c r="F113" i="3"/>
  <c r="T113" i="3" s="1"/>
  <c r="F192" i="3"/>
  <c r="T192" i="3" s="1"/>
  <c r="F128" i="3"/>
  <c r="T128" i="3" s="1"/>
  <c r="F206" i="3"/>
  <c r="T206" i="3" s="1"/>
  <c r="F191" i="3"/>
  <c r="T191" i="3" s="1"/>
  <c r="F174" i="3"/>
  <c r="T174" i="3" s="1"/>
  <c r="F160" i="3"/>
  <c r="T160" i="3" s="1"/>
  <c r="F144" i="3"/>
  <c r="T144" i="3" s="1"/>
  <c r="F127" i="3"/>
  <c r="T127" i="3" s="1"/>
  <c r="F111" i="3"/>
  <c r="T111" i="3" s="1"/>
  <c r="F95" i="3"/>
  <c r="T95" i="3" s="1"/>
  <c r="F80" i="3"/>
  <c r="T80" i="3" s="1"/>
  <c r="F67" i="3"/>
  <c r="T67" i="3" s="1"/>
  <c r="F52" i="3"/>
  <c r="T52" i="3" s="1"/>
  <c r="F37" i="3"/>
  <c r="T37" i="3" s="1"/>
  <c r="F74" i="3"/>
  <c r="T74" i="3" s="1"/>
  <c r="F86" i="3"/>
  <c r="T86" i="3" s="1"/>
  <c r="F115" i="3"/>
  <c r="T115" i="3" s="1"/>
  <c r="F39" i="3"/>
  <c r="T39" i="3" s="1"/>
  <c r="F190" i="3"/>
  <c r="T190" i="3" s="1"/>
  <c r="F173" i="3"/>
  <c r="T173" i="3" s="1"/>
  <c r="F159" i="3"/>
  <c r="T159" i="3" s="1"/>
  <c r="F143" i="3"/>
  <c r="T143" i="3" s="1"/>
  <c r="F126" i="3"/>
  <c r="T126" i="3" s="1"/>
  <c r="F110" i="3"/>
  <c r="T110" i="3" s="1"/>
  <c r="F94" i="3"/>
  <c r="T94" i="3" s="1"/>
  <c r="F79" i="3"/>
  <c r="T79" i="3" s="1"/>
  <c r="F66" i="3"/>
  <c r="T66" i="3" s="1"/>
  <c r="F51" i="3"/>
  <c r="T51" i="3" s="1"/>
  <c r="F36" i="3"/>
  <c r="T36" i="3" s="1"/>
  <c r="F120" i="3"/>
  <c r="T120" i="3" s="1"/>
  <c r="F213" i="3"/>
  <c r="T213" i="3" s="1"/>
  <c r="F44" i="3"/>
  <c r="T44" i="3" s="1"/>
  <c r="F56" i="3"/>
  <c r="T56" i="3" s="1"/>
  <c r="F70" i="3"/>
  <c r="T70" i="3" s="1"/>
  <c r="F209" i="3"/>
  <c r="T209" i="3" s="1"/>
  <c r="F177" i="3"/>
  <c r="T177" i="3" s="1"/>
  <c r="F83" i="3"/>
  <c r="T83" i="3" s="1"/>
  <c r="F207" i="3"/>
  <c r="T207" i="3" s="1"/>
  <c r="F161" i="3"/>
  <c r="T161" i="3" s="1"/>
  <c r="F112" i="3"/>
  <c r="T112" i="3" s="1"/>
  <c r="F82" i="3"/>
  <c r="T82" i="3" s="1"/>
  <c r="F38" i="3"/>
  <c r="T38" i="3" s="1"/>
  <c r="F33" i="3"/>
  <c r="T33" i="3" s="1"/>
  <c r="F204" i="3"/>
  <c r="T204" i="3" s="1"/>
  <c r="F189" i="3"/>
  <c r="T189" i="3" s="1"/>
  <c r="F158" i="3"/>
  <c r="T158" i="3" s="1"/>
  <c r="F125" i="3"/>
  <c r="T125" i="3" s="1"/>
  <c r="F109" i="3"/>
  <c r="T109" i="3" s="1"/>
  <c r="F93" i="3"/>
  <c r="T93" i="3" s="1"/>
  <c r="F65" i="3"/>
  <c r="T65" i="3" s="1"/>
  <c r="F50" i="3"/>
  <c r="T50" i="3" s="1"/>
  <c r="F35" i="3"/>
  <c r="T35" i="3" s="1"/>
  <c r="F215" i="3"/>
  <c r="T215" i="3" s="1"/>
  <c r="F184" i="3"/>
  <c r="T184" i="3" s="1"/>
  <c r="F168" i="3"/>
  <c r="T168" i="3" s="1"/>
  <c r="F153" i="3"/>
  <c r="T153" i="3" s="1"/>
  <c r="F104" i="3"/>
  <c r="T104" i="3" s="1"/>
  <c r="F88" i="3"/>
  <c r="T88" i="3" s="1"/>
  <c r="F46" i="3"/>
  <c r="T46" i="3" s="1"/>
  <c r="F214" i="3"/>
  <c r="T214" i="3" s="1"/>
  <c r="F198" i="3"/>
  <c r="T198" i="3" s="1"/>
  <c r="F167" i="3"/>
  <c r="T167" i="3" s="1"/>
  <c r="F152" i="3"/>
  <c r="T152" i="3" s="1"/>
  <c r="F136" i="3"/>
  <c r="T136" i="3" s="1"/>
  <c r="F119" i="3"/>
  <c r="T119" i="3" s="1"/>
  <c r="F87" i="3"/>
  <c r="T87" i="3" s="1"/>
  <c r="F45" i="3"/>
  <c r="T45" i="3" s="1"/>
  <c r="F197" i="3"/>
  <c r="T197" i="3" s="1"/>
  <c r="F166" i="3"/>
  <c r="T166" i="3" s="1"/>
  <c r="F135" i="3"/>
  <c r="T135" i="3" s="1"/>
  <c r="F72" i="3"/>
  <c r="T72" i="3" s="1"/>
  <c r="F165" i="3"/>
  <c r="T165" i="3" s="1"/>
  <c r="F150" i="3"/>
  <c r="T150" i="3" s="1"/>
  <c r="F211" i="3"/>
  <c r="T211" i="3" s="1"/>
  <c r="F210" i="3"/>
  <c r="T210" i="3" s="1"/>
  <c r="F148" i="3"/>
  <c r="T148" i="3" s="1"/>
  <c r="F55" i="3"/>
  <c r="T55" i="3" s="1"/>
  <c r="F130" i="3"/>
  <c r="T130" i="3" s="1"/>
  <c r="F40" i="3"/>
  <c r="T40" i="3" s="1"/>
  <c r="F208" i="3"/>
  <c r="T208" i="3" s="1"/>
  <c r="F162" i="3"/>
  <c r="T162" i="3" s="1"/>
  <c r="F129" i="3"/>
  <c r="T129" i="3" s="1"/>
  <c r="F68" i="3"/>
  <c r="T68" i="3" s="1"/>
  <c r="F54" i="3"/>
  <c r="T54" i="3" s="1"/>
  <c r="F15" i="3"/>
  <c r="T15" i="3" s="1"/>
  <c r="F219" i="3"/>
  <c r="T219" i="3" s="1"/>
  <c r="F203" i="3"/>
  <c r="T203" i="3" s="1"/>
  <c r="F188" i="3"/>
  <c r="T188" i="3" s="1"/>
  <c r="F157" i="3"/>
  <c r="T157" i="3" s="1"/>
  <c r="F124" i="3"/>
  <c r="T124" i="3" s="1"/>
  <c r="F108" i="3"/>
  <c r="T108" i="3" s="1"/>
  <c r="F92" i="3"/>
  <c r="T92" i="3" s="1"/>
  <c r="F78" i="3"/>
  <c r="T78" i="3" s="1"/>
  <c r="F64" i="3"/>
  <c r="T64" i="3" s="1"/>
  <c r="AB63" i="3"/>
  <c r="C97" i="3" s="1"/>
  <c r="F26" i="3"/>
  <c r="T26" i="3" s="1"/>
  <c r="F21" i="3"/>
  <c r="T21" i="3" s="1"/>
  <c r="F14" i="3"/>
  <c r="T14" i="3" s="1"/>
  <c r="F18" i="3"/>
  <c r="T18" i="3" s="1"/>
  <c r="F6" i="3"/>
  <c r="T6" i="3" s="1"/>
  <c r="F16" i="3"/>
  <c r="T16" i="3" s="1"/>
  <c r="D3" i="3" l="1"/>
  <c r="T3" i="3"/>
  <c r="D7" i="3"/>
  <c r="T7" i="3"/>
  <c r="D10" i="3"/>
  <c r="T10" i="3"/>
  <c r="C23" i="3"/>
  <c r="C27" i="3"/>
  <c r="C25" i="3"/>
  <c r="C24" i="3"/>
  <c r="C32" i="3"/>
  <c r="C30" i="3"/>
  <c r="C29" i="3"/>
  <c r="C31" i="3"/>
  <c r="C10" i="3"/>
  <c r="C3" i="3"/>
  <c r="C7" i="3"/>
  <c r="F2" i="3"/>
  <c r="T2" i="3" s="1"/>
  <c r="Z15" i="3"/>
  <c r="Z16" i="3"/>
  <c r="Z17" i="3"/>
  <c r="Z14" i="3"/>
  <c r="AA15" i="3"/>
  <c r="AA14" i="3"/>
  <c r="AA2" i="3"/>
  <c r="Z2" i="3"/>
  <c r="Y2" i="3"/>
  <c r="T221" i="3" l="1"/>
  <c r="C142" i="3"/>
  <c r="C147" i="3"/>
  <c r="D146" i="3"/>
  <c r="D142" i="3"/>
  <c r="C176" i="3"/>
  <c r="D147" i="3"/>
  <c r="C131" i="3"/>
  <c r="C49" i="3"/>
  <c r="D176" i="3"/>
  <c r="C140" i="3"/>
  <c r="D140" i="3"/>
  <c r="D141" i="3"/>
  <c r="C141" i="3"/>
  <c r="D138" i="3"/>
  <c r="C138" i="3"/>
  <c r="C146" i="3"/>
  <c r="C145" i="3"/>
  <c r="D145" i="3"/>
  <c r="E145" i="3"/>
  <c r="E146" i="3"/>
  <c r="E147" i="3"/>
  <c r="E176" i="3"/>
  <c r="E141" i="3"/>
  <c r="E142" i="3"/>
  <c r="E138" i="3"/>
  <c r="E140" i="3"/>
  <c r="C175" i="3"/>
  <c r="D175" i="3"/>
  <c r="E175" i="3"/>
  <c r="C180" i="3"/>
  <c r="D101" i="3"/>
  <c r="D49" i="3"/>
  <c r="D205" i="3"/>
  <c r="C48" i="3"/>
  <c r="C182" i="3"/>
  <c r="D180" i="3"/>
  <c r="D183" i="3"/>
  <c r="D16" i="3"/>
  <c r="D73" i="3"/>
  <c r="C15" i="3"/>
  <c r="D132" i="3"/>
  <c r="D96" i="3"/>
  <c r="C183" i="3"/>
  <c r="C16" i="3"/>
  <c r="C179" i="3"/>
  <c r="D179" i="3"/>
  <c r="D48" i="3"/>
  <c r="C18" i="3"/>
  <c r="D18" i="3"/>
  <c r="D182" i="3"/>
  <c r="C178" i="3"/>
  <c r="D71" i="3"/>
  <c r="D99" i="3"/>
  <c r="D178" i="3"/>
  <c r="C22" i="3"/>
  <c r="C17" i="3"/>
  <c r="C59" i="3"/>
  <c r="D22" i="3"/>
  <c r="D17" i="3"/>
  <c r="D59" i="3"/>
  <c r="D218" i="3"/>
  <c r="C181" i="3"/>
  <c r="D195" i="3"/>
  <c r="C53" i="3"/>
  <c r="D181" i="3"/>
  <c r="D14" i="3"/>
  <c r="D53" i="3"/>
  <c r="D131" i="3"/>
  <c r="D26" i="3"/>
  <c r="C21" i="3"/>
  <c r="D98" i="3"/>
  <c r="C26" i="3"/>
  <c r="D21" i="3"/>
  <c r="D196" i="3"/>
  <c r="D15" i="3"/>
  <c r="D170" i="3"/>
  <c r="E181" i="3"/>
  <c r="E22" i="3"/>
  <c r="E180" i="3"/>
  <c r="E18" i="3"/>
  <c r="E183" i="3"/>
  <c r="E21" i="3"/>
  <c r="E182" i="3"/>
  <c r="E15" i="3"/>
  <c r="E179" i="3"/>
  <c r="E178" i="3"/>
  <c r="E53" i="3"/>
  <c r="E49" i="3"/>
  <c r="E48" i="3"/>
  <c r="E16" i="3"/>
  <c r="E26" i="3"/>
  <c r="E17" i="3"/>
  <c r="E59" i="3"/>
  <c r="D133" i="3"/>
  <c r="C133" i="3"/>
  <c r="E133" i="3"/>
  <c r="C132" i="3"/>
  <c r="D172" i="3"/>
  <c r="C172" i="3"/>
  <c r="C69" i="3"/>
  <c r="D69" i="3"/>
  <c r="E69" i="3"/>
  <c r="E172" i="3"/>
  <c r="E131" i="3"/>
  <c r="E132" i="3"/>
  <c r="C196" i="3"/>
  <c r="C195" i="3"/>
  <c r="C73" i="3"/>
  <c r="C14" i="3"/>
  <c r="C71" i="3"/>
  <c r="E71" i="3"/>
  <c r="E195" i="3"/>
  <c r="E196" i="3"/>
  <c r="C218" i="3"/>
  <c r="C101" i="3"/>
  <c r="C98" i="3"/>
  <c r="C99" i="3"/>
  <c r="E99" i="3"/>
  <c r="E98" i="3"/>
  <c r="E101" i="3"/>
  <c r="E218" i="3"/>
  <c r="D19" i="3"/>
  <c r="C19" i="3"/>
  <c r="E19" i="3"/>
  <c r="C170" i="3"/>
  <c r="C8" i="3"/>
  <c r="E12" i="3"/>
  <c r="C205" i="3"/>
  <c r="E205" i="3"/>
  <c r="E170" i="3"/>
  <c r="C13" i="3"/>
  <c r="C123" i="3"/>
  <c r="D123" i="3"/>
  <c r="E123" i="3"/>
  <c r="C96" i="3"/>
  <c r="D12" i="3"/>
  <c r="E73" i="3"/>
  <c r="E96" i="3"/>
  <c r="C12" i="3"/>
  <c r="E13" i="3"/>
  <c r="D13" i="3"/>
  <c r="D33" i="3"/>
  <c r="C33" i="3"/>
  <c r="D35" i="3"/>
  <c r="E33" i="3"/>
  <c r="E14" i="3"/>
  <c r="C11" i="3"/>
  <c r="C6" i="3"/>
  <c r="D6" i="3"/>
  <c r="C4" i="3"/>
  <c r="D8" i="3"/>
  <c r="C2" i="3"/>
  <c r="C9" i="3"/>
  <c r="D9" i="3"/>
  <c r="D2" i="3"/>
  <c r="D5" i="3"/>
  <c r="D11" i="3"/>
  <c r="D4" i="3"/>
  <c r="C5" i="3"/>
  <c r="E6" i="3"/>
  <c r="E4" i="3"/>
  <c r="E2" i="3"/>
  <c r="E8" i="3"/>
  <c r="E9" i="3"/>
  <c r="E11" i="3"/>
  <c r="E5" i="3"/>
  <c r="E220" i="3"/>
  <c r="C220" i="3"/>
  <c r="C219" i="3"/>
  <c r="D220" i="3"/>
  <c r="C164" i="3"/>
  <c r="D164" i="3"/>
  <c r="E164" i="3"/>
  <c r="D81" i="3"/>
  <c r="E81" i="3"/>
  <c r="C81" i="3"/>
  <c r="E210" i="3"/>
  <c r="E144" i="3"/>
  <c r="E111" i="3"/>
  <c r="E219" i="3"/>
  <c r="E215" i="3"/>
  <c r="E211" i="3"/>
  <c r="E207" i="3"/>
  <c r="E203" i="3"/>
  <c r="E199" i="3"/>
  <c r="E192" i="3"/>
  <c r="E188" i="3"/>
  <c r="E184" i="3"/>
  <c r="E168" i="3"/>
  <c r="E161" i="3"/>
  <c r="E157" i="3"/>
  <c r="E153" i="3"/>
  <c r="E149" i="3"/>
  <c r="E137" i="3"/>
  <c r="E128" i="3"/>
  <c r="E124" i="3"/>
  <c r="E120" i="3"/>
  <c r="E116" i="3"/>
  <c r="E112" i="3"/>
  <c r="E108" i="3"/>
  <c r="E104" i="3"/>
  <c r="E100" i="3"/>
  <c r="E92" i="3"/>
  <c r="E88" i="3"/>
  <c r="E82" i="3"/>
  <c r="E77" i="3"/>
  <c r="E70" i="3"/>
  <c r="E67" i="3"/>
  <c r="E63" i="3"/>
  <c r="E55" i="3"/>
  <c r="E52" i="3"/>
  <c r="E45" i="3"/>
  <c r="E41" i="3"/>
  <c r="E37" i="3"/>
  <c r="D100" i="3"/>
  <c r="D88" i="3"/>
  <c r="D82" i="3"/>
  <c r="D70" i="3"/>
  <c r="D67" i="3"/>
  <c r="D63" i="3"/>
  <c r="D55" i="3"/>
  <c r="D52" i="3"/>
  <c r="D41" i="3"/>
  <c r="D37" i="3"/>
  <c r="D219" i="3"/>
  <c r="D215" i="3"/>
  <c r="D211" i="3"/>
  <c r="D207" i="3"/>
  <c r="D203" i="3"/>
  <c r="D199" i="3"/>
  <c r="D192" i="3"/>
  <c r="D188" i="3"/>
  <c r="D184" i="3"/>
  <c r="D168" i="3"/>
  <c r="D161" i="3"/>
  <c r="D157" i="3"/>
  <c r="D153" i="3"/>
  <c r="D149" i="3"/>
  <c r="D137" i="3"/>
  <c r="D128" i="3"/>
  <c r="D124" i="3"/>
  <c r="D120" i="3"/>
  <c r="D116" i="3"/>
  <c r="D112" i="3"/>
  <c r="D108" i="3"/>
  <c r="D104" i="3"/>
  <c r="D92" i="3"/>
  <c r="D77" i="3"/>
  <c r="D45" i="3"/>
  <c r="E214" i="3"/>
  <c r="E136" i="3"/>
  <c r="C215" i="3"/>
  <c r="C211" i="3"/>
  <c r="C207" i="3"/>
  <c r="C203" i="3"/>
  <c r="C199" i="3"/>
  <c r="C192" i="3"/>
  <c r="C188" i="3"/>
  <c r="C184" i="3"/>
  <c r="C168" i="3"/>
  <c r="C161" i="3"/>
  <c r="C157" i="3"/>
  <c r="C153" i="3"/>
  <c r="C149" i="3"/>
  <c r="C137" i="3"/>
  <c r="C128" i="3"/>
  <c r="C124" i="3"/>
  <c r="C120" i="3"/>
  <c r="C116" i="3"/>
  <c r="C112" i="3"/>
  <c r="C108" i="3"/>
  <c r="C104" i="3"/>
  <c r="C100" i="3"/>
  <c r="C92" i="3"/>
  <c r="C88" i="3"/>
  <c r="C82" i="3"/>
  <c r="C77" i="3"/>
  <c r="C70" i="3"/>
  <c r="C67" i="3"/>
  <c r="C63" i="3"/>
  <c r="C55" i="3"/>
  <c r="C52" i="3"/>
  <c r="C45" i="3"/>
  <c r="C41" i="3"/>
  <c r="C37" i="3"/>
  <c r="E206" i="3"/>
  <c r="E202" i="3"/>
  <c r="E198" i="3"/>
  <c r="E191" i="3"/>
  <c r="E187" i="3"/>
  <c r="E174" i="3"/>
  <c r="E171" i="3"/>
  <c r="E167" i="3"/>
  <c r="E163" i="3"/>
  <c r="E160" i="3"/>
  <c r="E156" i="3"/>
  <c r="E152" i="3"/>
  <c r="E148" i="3"/>
  <c r="E127" i="3"/>
  <c r="E115" i="3"/>
  <c r="E107" i="3"/>
  <c r="D214" i="3"/>
  <c r="D210" i="3"/>
  <c r="D206" i="3"/>
  <c r="D202" i="3"/>
  <c r="D198" i="3"/>
  <c r="D191" i="3"/>
  <c r="D187" i="3"/>
  <c r="D174" i="3"/>
  <c r="D171" i="3"/>
  <c r="D167" i="3"/>
  <c r="D163" i="3"/>
  <c r="D160" i="3"/>
  <c r="D156" i="3"/>
  <c r="D152" i="3"/>
  <c r="D148" i="3"/>
  <c r="D144" i="3"/>
  <c r="D136" i="3"/>
  <c r="D127" i="3"/>
  <c r="D119" i="3"/>
  <c r="D115" i="3"/>
  <c r="D111" i="3"/>
  <c r="D107" i="3"/>
  <c r="D217" i="3"/>
  <c r="D213" i="3"/>
  <c r="D209" i="3"/>
  <c r="C210" i="3"/>
  <c r="C204" i="3"/>
  <c r="C190" i="3"/>
  <c r="C174" i="3"/>
  <c r="D169" i="3"/>
  <c r="D155" i="3"/>
  <c r="E134" i="3"/>
  <c r="C126" i="3"/>
  <c r="C113" i="3"/>
  <c r="E105" i="3"/>
  <c r="D87" i="3"/>
  <c r="C84" i="3"/>
  <c r="E76" i="3"/>
  <c r="E61" i="3"/>
  <c r="D56" i="3"/>
  <c r="E46" i="3"/>
  <c r="C40" i="3"/>
  <c r="C169" i="3"/>
  <c r="C155" i="3"/>
  <c r="D134" i="3"/>
  <c r="E118" i="3"/>
  <c r="C111" i="3"/>
  <c r="D105" i="3"/>
  <c r="C87" i="3"/>
  <c r="D76" i="3"/>
  <c r="E66" i="3"/>
  <c r="D61" i="3"/>
  <c r="C56" i="3"/>
  <c r="E50" i="3"/>
  <c r="D46" i="3"/>
  <c r="E34" i="3"/>
  <c r="E130" i="3"/>
  <c r="C110" i="3"/>
  <c r="D91" i="3"/>
  <c r="C86" i="3"/>
  <c r="E80" i="3"/>
  <c r="E65" i="3"/>
  <c r="D60" i="3"/>
  <c r="D216" i="3"/>
  <c r="C166" i="3"/>
  <c r="E159" i="3"/>
  <c r="C152" i="3"/>
  <c r="D130" i="3"/>
  <c r="D117" i="3"/>
  <c r="C75" i="3"/>
  <c r="C202" i="3"/>
  <c r="E162" i="3"/>
  <c r="E93" i="3"/>
  <c r="D194" i="3"/>
  <c r="E217" i="3"/>
  <c r="E209" i="3"/>
  <c r="E189" i="3"/>
  <c r="E173" i="3"/>
  <c r="C167" i="3"/>
  <c r="D162" i="3"/>
  <c r="C134" i="3"/>
  <c r="E125" i="3"/>
  <c r="D118" i="3"/>
  <c r="C105" i="3"/>
  <c r="D93" i="3"/>
  <c r="E83" i="3"/>
  <c r="C76" i="3"/>
  <c r="D66" i="3"/>
  <c r="C61" i="3"/>
  <c r="D50" i="3"/>
  <c r="C46" i="3"/>
  <c r="E39" i="3"/>
  <c r="D34" i="3"/>
  <c r="D208" i="3"/>
  <c r="C217" i="3"/>
  <c r="C209" i="3"/>
  <c r="E201" i="3"/>
  <c r="D189" i="3"/>
  <c r="D173" i="3"/>
  <c r="C162" i="3"/>
  <c r="E154" i="3"/>
  <c r="E139" i="3"/>
  <c r="D125" i="3"/>
  <c r="C118" i="3"/>
  <c r="E110" i="3"/>
  <c r="E103" i="3"/>
  <c r="C93" i="3"/>
  <c r="E86" i="3"/>
  <c r="D83" i="3"/>
  <c r="C66" i="3"/>
  <c r="C50" i="3"/>
  <c r="E44" i="3"/>
  <c r="D39" i="3"/>
  <c r="C34" i="3"/>
  <c r="C103" i="3"/>
  <c r="C44" i="3"/>
  <c r="D201" i="3"/>
  <c r="C189" i="3"/>
  <c r="C173" i="3"/>
  <c r="E166" i="3"/>
  <c r="C160" i="3"/>
  <c r="D154" i="3"/>
  <c r="D139" i="3"/>
  <c r="C125" i="3"/>
  <c r="D110" i="3"/>
  <c r="D103" i="3"/>
  <c r="E91" i="3"/>
  <c r="D86" i="3"/>
  <c r="C83" i="3"/>
  <c r="E75" i="3"/>
  <c r="E60" i="3"/>
  <c r="D44" i="3"/>
  <c r="C39" i="3"/>
  <c r="D75" i="3"/>
  <c r="E216" i="3"/>
  <c r="E208" i="3"/>
  <c r="C201" i="3"/>
  <c r="E194" i="3"/>
  <c r="C187" i="3"/>
  <c r="D166" i="3"/>
  <c r="C154" i="3"/>
  <c r="C139" i="3"/>
  <c r="E117" i="3"/>
  <c r="C214" i="3"/>
  <c r="C206" i="3"/>
  <c r="D200" i="3"/>
  <c r="D186" i="3"/>
  <c r="E165" i="3"/>
  <c r="C159" i="3"/>
  <c r="E151" i="3"/>
  <c r="C144" i="3"/>
  <c r="D122" i="3"/>
  <c r="C115" i="3"/>
  <c r="D109" i="3"/>
  <c r="D102" i="3"/>
  <c r="E90" i="3"/>
  <c r="E74" i="3"/>
  <c r="D58" i="3"/>
  <c r="C54" i="3"/>
  <c r="D43" i="3"/>
  <c r="C38" i="3"/>
  <c r="C200" i="3"/>
  <c r="E193" i="3"/>
  <c r="C186" i="3"/>
  <c r="C171" i="3"/>
  <c r="D165" i="3"/>
  <c r="D151" i="3"/>
  <c r="E129" i="3"/>
  <c r="C122" i="3"/>
  <c r="C109" i="3"/>
  <c r="C102" i="3"/>
  <c r="E95" i="3"/>
  <c r="D90" i="3"/>
  <c r="E79" i="3"/>
  <c r="D74" i="3"/>
  <c r="E64" i="3"/>
  <c r="C58" i="3"/>
  <c r="C43" i="3"/>
  <c r="E36" i="3"/>
  <c r="E213" i="3"/>
  <c r="C198" i="3"/>
  <c r="D193" i="3"/>
  <c r="C165" i="3"/>
  <c r="E158" i="3"/>
  <c r="C151" i="3"/>
  <c r="E143" i="3"/>
  <c r="C136" i="3"/>
  <c r="D129" i="3"/>
  <c r="E114" i="3"/>
  <c r="C107" i="3"/>
  <c r="D95" i="3"/>
  <c r="C90" i="3"/>
  <c r="C216" i="3"/>
  <c r="C197" i="3"/>
  <c r="D159" i="3"/>
  <c r="D121" i="3"/>
  <c r="E89" i="3"/>
  <c r="E126" i="3"/>
  <c r="D79" i="3"/>
  <c r="E122" i="3"/>
  <c r="C213" i="3"/>
  <c r="E177" i="3"/>
  <c r="D158" i="3"/>
  <c r="C121" i="3"/>
  <c r="D89" i="3"/>
  <c r="D78" i="3"/>
  <c r="E56" i="3"/>
  <c r="C35" i="3"/>
  <c r="C212" i="3"/>
  <c r="D135" i="3"/>
  <c r="C64" i="3"/>
  <c r="E42" i="3"/>
  <c r="C208" i="3"/>
  <c r="C114" i="3"/>
  <c r="D190" i="3"/>
  <c r="D62" i="3"/>
  <c r="D68" i="3"/>
  <c r="C106" i="3"/>
  <c r="C194" i="3"/>
  <c r="D177" i="3"/>
  <c r="C158" i="3"/>
  <c r="E119" i="3"/>
  <c r="C89" i="3"/>
  <c r="C78" i="3"/>
  <c r="D65" i="3"/>
  <c r="E54" i="3"/>
  <c r="E85" i="3"/>
  <c r="E62" i="3"/>
  <c r="C36" i="3"/>
  <c r="C68" i="3"/>
  <c r="E212" i="3"/>
  <c r="C193" i="3"/>
  <c r="C177" i="3"/>
  <c r="C156" i="3"/>
  <c r="C119" i="3"/>
  <c r="E87" i="3"/>
  <c r="C65" i="3"/>
  <c r="D54" i="3"/>
  <c r="E43" i="3"/>
  <c r="E155" i="3"/>
  <c r="D114" i="3"/>
  <c r="E190" i="3"/>
  <c r="D85" i="3"/>
  <c r="E51" i="3"/>
  <c r="D36" i="3"/>
  <c r="D106" i="3"/>
  <c r="D212" i="3"/>
  <c r="C191" i="3"/>
  <c r="E135" i="3"/>
  <c r="C117" i="3"/>
  <c r="C74" i="3"/>
  <c r="D64" i="3"/>
  <c r="E72" i="3"/>
  <c r="C91" i="3"/>
  <c r="C143" i="3"/>
  <c r="E186" i="3"/>
  <c r="E150" i="3"/>
  <c r="C130" i="3"/>
  <c r="E113" i="3"/>
  <c r="C95" i="3"/>
  <c r="C62" i="3"/>
  <c r="D51" i="3"/>
  <c r="E40" i="3"/>
  <c r="E185" i="3"/>
  <c r="E169" i="3"/>
  <c r="D150" i="3"/>
  <c r="C129" i="3"/>
  <c r="D113" i="3"/>
  <c r="E84" i="3"/>
  <c r="C51" i="3"/>
  <c r="D40" i="3"/>
  <c r="E204" i="3"/>
  <c r="D185" i="3"/>
  <c r="C150" i="3"/>
  <c r="C127" i="3"/>
  <c r="E109" i="3"/>
  <c r="E94" i="3"/>
  <c r="D84" i="3"/>
  <c r="C60" i="3"/>
  <c r="E38" i="3"/>
  <c r="D204" i="3"/>
  <c r="C185" i="3"/>
  <c r="C163" i="3"/>
  <c r="C148" i="3"/>
  <c r="D94" i="3"/>
  <c r="D80" i="3"/>
  <c r="E58" i="3"/>
  <c r="D38" i="3"/>
  <c r="E200" i="3"/>
  <c r="C94" i="3"/>
  <c r="E68" i="3"/>
  <c r="D126" i="3"/>
  <c r="E57" i="3"/>
  <c r="E197" i="3"/>
  <c r="D57" i="3"/>
  <c r="D197" i="3"/>
  <c r="E121" i="3"/>
  <c r="C57" i="3"/>
  <c r="D47" i="3"/>
  <c r="E35" i="3"/>
  <c r="E102" i="3"/>
  <c r="E78" i="3"/>
  <c r="C47" i="3"/>
  <c r="C135" i="3"/>
  <c r="D72" i="3"/>
  <c r="D42" i="3"/>
  <c r="C85" i="3"/>
  <c r="C72" i="3"/>
  <c r="C42" i="3"/>
  <c r="E106" i="3"/>
  <c r="C80" i="3"/>
  <c r="D143" i="3"/>
  <c r="C79" i="3"/>
  <c r="E47" i="3"/>
  <c r="V210" i="2"/>
</calcChain>
</file>

<file path=xl/sharedStrings.xml><?xml version="1.0" encoding="utf-8"?>
<sst xmlns="http://schemas.openxmlformats.org/spreadsheetml/2006/main" count="4564" uniqueCount="1007">
  <si>
    <t>Bus</t>
  </si>
  <si>
    <t>Pg</t>
  </si>
  <si>
    <t>Qg</t>
  </si>
  <si>
    <t>Qmax</t>
  </si>
  <si>
    <t>Qmin</t>
  </si>
  <si>
    <t>Vg</t>
  </si>
  <si>
    <t>mBase</t>
  </si>
  <si>
    <t>status</t>
  </si>
  <si>
    <t>Pmax</t>
  </si>
  <si>
    <t>Pmin</t>
  </si>
  <si>
    <t>Pc1</t>
  </si>
  <si>
    <t>Pc2</t>
  </si>
  <si>
    <t>Qc1min</t>
  </si>
  <si>
    <t>Qc1max</t>
  </si>
  <si>
    <t>Qc2min</t>
  </si>
  <si>
    <t>Qc2max</t>
  </si>
  <si>
    <t>ramp_agc</t>
  </si>
  <si>
    <t>ramp_10</t>
  </si>
  <si>
    <t>ramp_30</t>
  </si>
  <si>
    <t>ramp_q</t>
  </si>
  <si>
    <t>apf</t>
  </si>
  <si>
    <t>Type</t>
  </si>
  <si>
    <t>Pd</t>
  </si>
  <si>
    <t>Gd</t>
  </si>
  <si>
    <t>Gs</t>
  </si>
  <si>
    <t>Bs</t>
  </si>
  <si>
    <t>area</t>
  </si>
  <si>
    <t>Vm</t>
  </si>
  <si>
    <t>Va</t>
  </si>
  <si>
    <t>basekV</t>
  </si>
  <si>
    <t>zone</t>
  </si>
  <si>
    <t>Vmax</t>
  </si>
  <si>
    <t>Vmin</t>
  </si>
  <si>
    <t>Bus1</t>
  </si>
  <si>
    <t>Bus2</t>
  </si>
  <si>
    <t>R</t>
  </si>
  <si>
    <t>X</t>
  </si>
  <si>
    <t>B</t>
  </si>
  <si>
    <t>RateA</t>
  </si>
  <si>
    <t>RateB</t>
  </si>
  <si>
    <t>RateC</t>
  </si>
  <si>
    <t>ratio</t>
  </si>
  <si>
    <t>angle</t>
  </si>
  <si>
    <t>angmin</t>
  </si>
  <si>
    <t>angmax</t>
  </si>
  <si>
    <t>BusName</t>
  </si>
  <si>
    <t>Seraya Genset 1</t>
  </si>
  <si>
    <t>Singapore PowerGrid (230kV)</t>
  </si>
  <si>
    <t>UHT Substation 1 (230kV)</t>
  </si>
  <si>
    <t>UHT Substation 2 (230kV)</t>
  </si>
  <si>
    <t>UHT Substation 3 (230kV)</t>
  </si>
  <si>
    <t>UHT Substation 1 (66kV)</t>
  </si>
  <si>
    <t>UHT Substation 2 (66kV)</t>
  </si>
  <si>
    <t>EHT Substation 4 (66kV)</t>
  </si>
  <si>
    <t>EHT Substation 3 (66kV)</t>
  </si>
  <si>
    <t>EHT Substation 1 (66kV)</t>
  </si>
  <si>
    <t>EHT Substation 9 (66kV)</t>
  </si>
  <si>
    <t>EHT Substation 2 (66kV)</t>
  </si>
  <si>
    <t>UHT Substation 3 (66kV)</t>
  </si>
  <si>
    <t>EHT Substation 5 (66kV)</t>
  </si>
  <si>
    <t>EHT Substation 6 (66kV)</t>
  </si>
  <si>
    <t>EHT Substation 8 (66kV)</t>
  </si>
  <si>
    <t>EHT Substation 7 (66kV)</t>
  </si>
  <si>
    <t>EHT Substation 3 (22kV)</t>
  </si>
  <si>
    <t>Faci Asia</t>
  </si>
  <si>
    <t>01614P</t>
  </si>
  <si>
    <t>02838V</t>
  </si>
  <si>
    <t>02451C</t>
  </si>
  <si>
    <t>Air Liquide</t>
  </si>
  <si>
    <t>Stella Chemifa</t>
  </si>
  <si>
    <t>03153X</t>
  </si>
  <si>
    <t>Carotino</t>
  </si>
  <si>
    <t>U33</t>
  </si>
  <si>
    <t>02450L</t>
  </si>
  <si>
    <t>PTC Chemical p1</t>
  </si>
  <si>
    <t>PTC Chemical p2</t>
  </si>
  <si>
    <t>PTC Chemical p3</t>
  </si>
  <si>
    <t>03154L</t>
  </si>
  <si>
    <t>Rotary Engineering</t>
  </si>
  <si>
    <t>Linde Gas</t>
  </si>
  <si>
    <t>EHT Substation 9 (22kV)</t>
  </si>
  <si>
    <t>DENKA</t>
  </si>
  <si>
    <t>Petrochemical Corp</t>
  </si>
  <si>
    <t>EHT Substation 2 (22kV)</t>
  </si>
  <si>
    <t>Croda</t>
  </si>
  <si>
    <t>02380M</t>
  </si>
  <si>
    <t>Huntsman</t>
  </si>
  <si>
    <t>02382V</t>
  </si>
  <si>
    <t>U29</t>
  </si>
  <si>
    <t>Oiltanking Odfjell</t>
  </si>
  <si>
    <t>03186C</t>
  </si>
  <si>
    <t>03249T</t>
  </si>
  <si>
    <t>Singapore PetroChemicals p2</t>
  </si>
  <si>
    <t>EHT Substation 5 (22kV)</t>
  </si>
  <si>
    <t>Chemical Specialties p1</t>
  </si>
  <si>
    <t>Chemical Specialties p2</t>
  </si>
  <si>
    <t>U24</t>
  </si>
  <si>
    <t>03279P</t>
  </si>
  <si>
    <t>Nikko Chemicals</t>
  </si>
  <si>
    <t>EHT Substation 1 (22kV)</t>
  </si>
  <si>
    <t>The Polyolefin p1</t>
  </si>
  <si>
    <t>Continental Chemical</t>
  </si>
  <si>
    <t>Coim Asia Pacific</t>
  </si>
  <si>
    <t>The Polyolefin p2</t>
  </si>
  <si>
    <t>03280W</t>
  </si>
  <si>
    <t>Perstorp</t>
  </si>
  <si>
    <t>Chemical Industries</t>
  </si>
  <si>
    <t>Akzo Nobel</t>
  </si>
  <si>
    <t>Du Pont Co</t>
  </si>
  <si>
    <t>01650A</t>
  </si>
  <si>
    <t>Chevron Oronite</t>
  </si>
  <si>
    <t>HDB Building</t>
  </si>
  <si>
    <t>03270A</t>
  </si>
  <si>
    <t>02948K</t>
  </si>
  <si>
    <t>02319T</t>
  </si>
  <si>
    <t>EHT Substation 6 (22kV)</t>
  </si>
  <si>
    <t>03291L</t>
  </si>
  <si>
    <t>01228T</t>
  </si>
  <si>
    <t>Glacial Acrylic</t>
  </si>
  <si>
    <t>Perstorp or Lonza</t>
  </si>
  <si>
    <t>Public Building</t>
  </si>
  <si>
    <t>ITRO</t>
  </si>
  <si>
    <t>EHT Substation 4 (22kV)</t>
  </si>
  <si>
    <t>Mitsui Chemicals</t>
  </si>
  <si>
    <t>Asahi Kasei</t>
  </si>
  <si>
    <t>Mitsui Phenol</t>
  </si>
  <si>
    <t>02596N</t>
  </si>
  <si>
    <t>PacificLight Power</t>
  </si>
  <si>
    <t>Horizon</t>
  </si>
  <si>
    <t>02502K</t>
  </si>
  <si>
    <t>Vopak Terminal p1</t>
  </si>
  <si>
    <t>Sembcorp</t>
  </si>
  <si>
    <t>Teijin Polycarbonate</t>
  </si>
  <si>
    <t>Oasis Sakra</t>
  </si>
  <si>
    <t>Si Group</t>
  </si>
  <si>
    <t>Ciba Industries</t>
  </si>
  <si>
    <t>03158V</t>
  </si>
  <si>
    <t>Sumitomo Chemical</t>
  </si>
  <si>
    <t>DIC Alkylphenol</t>
  </si>
  <si>
    <t>Sembcorp Gas</t>
  </si>
  <si>
    <t>02944V</t>
  </si>
  <si>
    <t>Sembcorp Industries</t>
  </si>
  <si>
    <t>U107</t>
  </si>
  <si>
    <t>Sembcorp cogen</t>
  </si>
  <si>
    <t>Tate and Lyle</t>
  </si>
  <si>
    <t>Stepan Asia</t>
  </si>
  <si>
    <t>Keppel Merlimau cogen</t>
  </si>
  <si>
    <t>Vopak Terminal p2</t>
  </si>
  <si>
    <t>00712M</t>
  </si>
  <si>
    <t>Sumitomo Mitsui Con</t>
  </si>
  <si>
    <t>02592P</t>
  </si>
  <si>
    <t>Unimatec</t>
  </si>
  <si>
    <t>Invista</t>
  </si>
  <si>
    <t>Lucite Int</t>
  </si>
  <si>
    <t>Kuraray</t>
  </si>
  <si>
    <t>Singapore PetroChemicals p1</t>
  </si>
  <si>
    <t>03204T</t>
  </si>
  <si>
    <t>Mitsui Elastomers</t>
  </si>
  <si>
    <t>Celanese</t>
  </si>
  <si>
    <t>Du Pont p1</t>
  </si>
  <si>
    <t>Du Pont p2</t>
  </si>
  <si>
    <t>Vopak p2</t>
  </si>
  <si>
    <t>Vopak p1</t>
  </si>
  <si>
    <t>Du Pont p3</t>
  </si>
  <si>
    <t>Oiltanking p1</t>
  </si>
  <si>
    <t>03240K</t>
  </si>
  <si>
    <t>EHT Substation 8 (22kV)</t>
  </si>
  <si>
    <t>U156</t>
  </si>
  <si>
    <t>Oiltanking p2</t>
  </si>
  <si>
    <t>Oiltanking p3</t>
  </si>
  <si>
    <t>03233V</t>
  </si>
  <si>
    <t>Lanxess</t>
  </si>
  <si>
    <t>03236A</t>
  </si>
  <si>
    <t>Tembusu Multi Utilities p2</t>
  </si>
  <si>
    <t>03051L</t>
  </si>
  <si>
    <t>03052C</t>
  </si>
  <si>
    <t>Asahi Kasei Chem</t>
  </si>
  <si>
    <t>01772N</t>
  </si>
  <si>
    <t>CCD Singapore</t>
  </si>
  <si>
    <t>Tembusu Multi Utilities p3</t>
  </si>
  <si>
    <t>U153</t>
  </si>
  <si>
    <t>02878X</t>
  </si>
  <si>
    <t>Oiltanking p4</t>
  </si>
  <si>
    <t>Stolthaven</t>
  </si>
  <si>
    <t>ExxonMobil Chemical</t>
  </si>
  <si>
    <t>03152N</t>
  </si>
  <si>
    <t>03023W</t>
  </si>
  <si>
    <t>03145P</t>
  </si>
  <si>
    <t>03182K</t>
  </si>
  <si>
    <t>Tembusu Multi Utilities p1</t>
  </si>
  <si>
    <t>03312K</t>
  </si>
  <si>
    <t>EHT Substation 7 (22kV)</t>
  </si>
  <si>
    <t>U121</t>
  </si>
  <si>
    <t>02263P</t>
  </si>
  <si>
    <t>03033X</t>
  </si>
  <si>
    <t>02954L</t>
  </si>
  <si>
    <t>ExxonMobil Refinery</t>
  </si>
  <si>
    <t>03184X</t>
  </si>
  <si>
    <t>Petrofac</t>
  </si>
  <si>
    <t>Sembcorp Integrated Wastewater Treatment</t>
  </si>
  <si>
    <t>03096L</t>
  </si>
  <si>
    <t>03311A</t>
  </si>
  <si>
    <t>03338T</t>
  </si>
  <si>
    <t>03299K</t>
  </si>
  <si>
    <t>Horizon Korea hld</t>
  </si>
  <si>
    <t>U120</t>
  </si>
  <si>
    <t>Essar Projects Aromatics</t>
  </si>
  <si>
    <t>03307T</t>
  </si>
  <si>
    <t>03333C</t>
  </si>
  <si>
    <t>03303M</t>
  </si>
  <si>
    <t>02817L</t>
  </si>
  <si>
    <t>LTH Logistics</t>
  </si>
  <si>
    <t>03238N</t>
  </si>
  <si>
    <t>ICES</t>
  </si>
  <si>
    <t>02322T</t>
  </si>
  <si>
    <t>03296P</t>
  </si>
  <si>
    <t>Zeon Chemicals</t>
  </si>
  <si>
    <t>01968M</t>
  </si>
  <si>
    <t>JI Maintenance Hub</t>
  </si>
  <si>
    <t>02464L</t>
  </si>
  <si>
    <t>03119X</t>
  </si>
  <si>
    <t>Ibris Bio-fuels</t>
  </si>
  <si>
    <t>01873A</t>
  </si>
  <si>
    <t>Katoen Natie p1</t>
  </si>
  <si>
    <t>Universal Terminal</t>
  </si>
  <si>
    <t>Oiltanking Odfjell p2</t>
  </si>
  <si>
    <t>Katoen Natie p2</t>
  </si>
  <si>
    <t>02432X</t>
  </si>
  <si>
    <t>Vopak Terminal</t>
  </si>
  <si>
    <t>01972W</t>
  </si>
  <si>
    <t>U126</t>
  </si>
  <si>
    <t>Oiltanking Odfjell p3</t>
  </si>
  <si>
    <t>02818C</t>
  </si>
  <si>
    <t>03325A</t>
  </si>
  <si>
    <t>YTL PowerSeraya</t>
  </si>
  <si>
    <t>Singapore Refining p1</t>
  </si>
  <si>
    <t>Oiltanking Helios</t>
  </si>
  <si>
    <t>LNG Terminal p1</t>
  </si>
  <si>
    <t>U128</t>
  </si>
  <si>
    <t>LNG Terminal p2</t>
  </si>
  <si>
    <t>Singapore Refining p2</t>
  </si>
  <si>
    <t>ExxonMobil</t>
  </si>
  <si>
    <t>Gen Data  (P,Q)</t>
  </si>
  <si>
    <t>Length km</t>
  </si>
  <si>
    <t>Line</t>
  </si>
  <si>
    <t>Transformer</t>
  </si>
  <si>
    <t>Branch Type</t>
  </si>
  <si>
    <t>XLPE 22 kV 3 cores</t>
  </si>
  <si>
    <t>Cond Section</t>
  </si>
  <si>
    <t>Rated Current</t>
  </si>
  <si>
    <t>Rated Power (MVA)</t>
  </si>
  <si>
    <t>R (Ohm/km)</t>
  </si>
  <si>
    <t>X (Ohm/km)</t>
  </si>
  <si>
    <t>C (microF/km)</t>
  </si>
  <si>
    <t>XLPE 66 kV 1 core</t>
  </si>
  <si>
    <t>Rated Current (at 65degC)</t>
  </si>
  <si>
    <t>R (Ohm/km) at 20degC</t>
  </si>
  <si>
    <t>L (mH/km)</t>
  </si>
  <si>
    <t>XLPE 230 kV 1 core</t>
  </si>
  <si>
    <t xml:space="preserve">Ref 1 --  3 Cores 22 kV </t>
  </si>
  <si>
    <t>http://www.precisioncables.ie/images/medium_voltage/Medium%20.22kv/3_core_arm_22kv_ccBS662BS7835.pdf</t>
  </si>
  <si>
    <t xml:space="preserve">Ref 2 --  3 Cores 22 kV </t>
  </si>
  <si>
    <t>https://www.nexans.co.uk/UK/2009/Nexans%20MV%20Cables%20UK%20Brochure_1.pdf</t>
  </si>
  <si>
    <t>Ref 3 -- 1 Core 66kV 230kV</t>
  </si>
  <si>
    <t>https://library.e.abb.com/public/ab02245fb5b5ec41c12575c4004a76d0/XLPE%20Land%20Cable%20Systems%202GM5007GB%20rev%205.pdf</t>
  </si>
  <si>
    <t>Zbase 22</t>
  </si>
  <si>
    <t>Zbase 66</t>
  </si>
  <si>
    <t>Zbase 230</t>
  </si>
  <si>
    <t>Sbase</t>
  </si>
  <si>
    <t>SG refinerie</t>
  </si>
  <si>
    <t>Arbitrage with line 02817L-U126</t>
  </si>
  <si>
    <t>Arbitrage with line 03280 - DENKA</t>
  </si>
  <si>
    <t>Arbitrage with line 02878X-03152N</t>
  </si>
  <si>
    <t>Because of Singapore refinirey</t>
  </si>
  <si>
    <t>Revise connexion?</t>
  </si>
  <si>
    <t>Revise Exxon Mobil Refinery</t>
  </si>
  <si>
    <t>Check with exxonmobil chemical node</t>
  </si>
  <si>
    <t>Check With exxon mobile and ICES</t>
  </si>
  <si>
    <t>R/km</t>
  </si>
  <si>
    <t>X/km</t>
  </si>
  <si>
    <t>B/km</t>
  </si>
  <si>
    <t>Ratio</t>
  </si>
  <si>
    <t>230 kV - 66 kV</t>
  </si>
  <si>
    <t>66 kV - 22 kV</t>
  </si>
  <si>
    <t>% X</t>
  </si>
  <si>
    <t>X/R</t>
  </si>
  <si>
    <t>% Z</t>
  </si>
  <si>
    <t>% R</t>
  </si>
  <si>
    <t>See Column F for rated MVA</t>
  </si>
  <si>
    <t>Bus1 - Name</t>
  </si>
  <si>
    <t>Bus2 - Name</t>
  </si>
  <si>
    <t>%choosen section = 300mm2</t>
  </si>
  <si>
    <t>%choosen section = 2000 mm2</t>
  </si>
  <si>
    <t>Nb_Element in Parallel</t>
  </si>
  <si>
    <t>Rated MVA</t>
  </si>
  <si>
    <t>Lat</t>
  </si>
  <si>
    <t>Long</t>
  </si>
  <si>
    <t>Y</t>
  </si>
  <si>
    <t>FID</t>
  </si>
  <si>
    <t>Shape *</t>
  </si>
  <si>
    <t>MK34id</t>
  </si>
  <si>
    <t>Owner</t>
  </si>
  <si>
    <t>Register</t>
  </si>
  <si>
    <t>TfDistance</t>
  </si>
  <si>
    <t>Point</t>
  </si>
  <si>
    <t>unregistered</t>
  </si>
  <si>
    <t>unreg</t>
  </si>
  <si>
    <t>103° 43.119'</t>
  </si>
  <si>
    <t>1° 17.415'</t>
  </si>
  <si>
    <t>02099P</t>
  </si>
  <si>
    <t>Oiltanking Asia Pacific</t>
  </si>
  <si>
    <t>reg</t>
  </si>
  <si>
    <t>103° 43.187'</t>
  </si>
  <si>
    <t>1° 17.374'</t>
  </si>
  <si>
    <t>01881C</t>
  </si>
  <si>
    <t>103° 43.231'</t>
  </si>
  <si>
    <t>1° 17.315'</t>
  </si>
  <si>
    <t>01961T</t>
  </si>
  <si>
    <t>103° 43.253'</t>
  </si>
  <si>
    <t>1° 17.264'</t>
  </si>
  <si>
    <t>01960P</t>
  </si>
  <si>
    <t>1° 17.196'</t>
  </si>
  <si>
    <t>01962A</t>
  </si>
  <si>
    <t>103° 43.219'</t>
  </si>
  <si>
    <t>1° 16.991'</t>
  </si>
  <si>
    <t>01647A</t>
  </si>
  <si>
    <t>Continental Chemical Corporation</t>
  </si>
  <si>
    <t>103° 43.288'</t>
  </si>
  <si>
    <t>1° 17.142'</t>
  </si>
  <si>
    <t>01839A</t>
  </si>
  <si>
    <t>103° 43.406'</t>
  </si>
  <si>
    <t>1° 17.174'</t>
  </si>
  <si>
    <t>00365K</t>
  </si>
  <si>
    <t>Oiltanking Odfjell Terminal Singapore</t>
  </si>
  <si>
    <t>103° 43.155'</t>
  </si>
  <si>
    <t>1° 16.781'</t>
  </si>
  <si>
    <t>00715P</t>
  </si>
  <si>
    <t>103° 43.611'</t>
  </si>
  <si>
    <t>1° 16.888'</t>
  </si>
  <si>
    <t>103° 43.670'</t>
  </si>
  <si>
    <t>1° 16.829'</t>
  </si>
  <si>
    <t>00562X</t>
  </si>
  <si>
    <t>103° 43.761'</t>
  </si>
  <si>
    <t>1° 16.740'</t>
  </si>
  <si>
    <t>00369C</t>
  </si>
  <si>
    <t>103° 43.903'</t>
  </si>
  <si>
    <t>1° 16.711'</t>
  </si>
  <si>
    <t>01238M</t>
  </si>
  <si>
    <t>Shell Chemicals Seraya and Ellba Eastern</t>
  </si>
  <si>
    <t>103° 43.803'</t>
  </si>
  <si>
    <t>1° 16.588'</t>
  </si>
  <si>
    <t>103° 44.083'</t>
  </si>
  <si>
    <t>1° 16.340'</t>
  </si>
  <si>
    <t>00594L</t>
  </si>
  <si>
    <t>DENKA Singapore</t>
  </si>
  <si>
    <t>103° 43.440'</t>
  </si>
  <si>
    <t>1° 16.451'</t>
  </si>
  <si>
    <t>103° 43.417'</t>
  </si>
  <si>
    <t>1° 16.235'</t>
  </si>
  <si>
    <t>02274M</t>
  </si>
  <si>
    <t>Nikko Chemicals Singapore</t>
  </si>
  <si>
    <t>103° 43.226'</t>
  </si>
  <si>
    <t>1° 16.239'</t>
  </si>
  <si>
    <t>00789W</t>
  </si>
  <si>
    <t>Croda Singapore</t>
  </si>
  <si>
    <t>103° 43.381'</t>
  </si>
  <si>
    <t>1° 16.506'</t>
  </si>
  <si>
    <t>103° 43.335'</t>
  </si>
  <si>
    <t>1° 16.556'</t>
  </si>
  <si>
    <t>01929K</t>
  </si>
  <si>
    <t>Huntsman Singapore</t>
  </si>
  <si>
    <t>103° 43.310'</t>
  </si>
  <si>
    <t>1° 16.583'</t>
  </si>
  <si>
    <t>103° 43.260'</t>
  </si>
  <si>
    <t>1° 16.629'</t>
  </si>
  <si>
    <t>02271X</t>
  </si>
  <si>
    <t>Chemical Specialties Limited</t>
  </si>
  <si>
    <t>103° 43.320'</t>
  </si>
  <si>
    <t>1° 16.394'</t>
  </si>
  <si>
    <t>02805M</t>
  </si>
  <si>
    <t>103° 43.281'</t>
  </si>
  <si>
    <t>1° 16.353'</t>
  </si>
  <si>
    <t>103° 43.251'</t>
  </si>
  <si>
    <t>1° 16.319'</t>
  </si>
  <si>
    <t>103° 43.201'</t>
  </si>
  <si>
    <t>1° 16.266'</t>
  </si>
  <si>
    <t>02889A</t>
  </si>
  <si>
    <t>PTC Chemical Logistics Complex</t>
  </si>
  <si>
    <t>103° 42.987'</t>
  </si>
  <si>
    <t>1° 16.378'</t>
  </si>
  <si>
    <t>02888T</t>
  </si>
  <si>
    <t>103° 42.942'</t>
  </si>
  <si>
    <t>1° 16.397'</t>
  </si>
  <si>
    <t>02890P</t>
  </si>
  <si>
    <t>103° 42.901'</t>
  </si>
  <si>
    <t>1° 16.437'</t>
  </si>
  <si>
    <t>unknown</t>
  </si>
  <si>
    <t>103° 43.135'</t>
  </si>
  <si>
    <t>1° 16.756'</t>
  </si>
  <si>
    <t>01536M</t>
  </si>
  <si>
    <t>Rotary Engineering Limited</t>
  </si>
  <si>
    <t>103° 43.035'</t>
  </si>
  <si>
    <t>1° 16.708'</t>
  </si>
  <si>
    <t>103° 42.962'</t>
  </si>
  <si>
    <t>1° 16.668'</t>
  </si>
  <si>
    <t>103° 42.832'</t>
  </si>
  <si>
    <t>103° 42.853'</t>
  </si>
  <si>
    <t>1° 16.513'</t>
  </si>
  <si>
    <t>00669W</t>
  </si>
  <si>
    <t>Singapore PetroChemicals Complex</t>
  </si>
  <si>
    <t>103° 43.044'</t>
  </si>
  <si>
    <t>1° 16.237'</t>
  </si>
  <si>
    <t>02465C</t>
  </si>
  <si>
    <t>Mitsui Elastomers Singapore</t>
  </si>
  <si>
    <t>103° 43.641'</t>
  </si>
  <si>
    <t>1° 15.961'</t>
  </si>
  <si>
    <t>103° 43.650'</t>
  </si>
  <si>
    <t>1° 15.952'</t>
  </si>
  <si>
    <t>03030A</t>
  </si>
  <si>
    <t>Sumitomo Chemical Asia</t>
  </si>
  <si>
    <t>103° 43.636'</t>
  </si>
  <si>
    <t>1° 15.945'</t>
  </si>
  <si>
    <t>00409L</t>
  </si>
  <si>
    <t>103° 43.502'</t>
  </si>
  <si>
    <t>1° 16.014'</t>
  </si>
  <si>
    <t>103° 43.505'</t>
  </si>
  <si>
    <t>1° 15.802'</t>
  </si>
  <si>
    <t>103° 43.486'</t>
  </si>
  <si>
    <t>1° 15.786'</t>
  </si>
  <si>
    <t>00405A</t>
  </si>
  <si>
    <t>The Polyolefin Company</t>
  </si>
  <si>
    <t>103° 42.990'</t>
  </si>
  <si>
    <t>1° 16.018'</t>
  </si>
  <si>
    <t>00406K</t>
  </si>
  <si>
    <t>103° 42.928'</t>
  </si>
  <si>
    <t>1° 15.902'</t>
  </si>
  <si>
    <t>00404T</t>
  </si>
  <si>
    <t>103° 42.908'</t>
  </si>
  <si>
    <t>1° 16.276'</t>
  </si>
  <si>
    <t>00402V</t>
  </si>
  <si>
    <t>Petrochemical Corporation of Singapore</t>
  </si>
  <si>
    <t>103° 42.609'</t>
  </si>
  <si>
    <t>1° 16.381'</t>
  </si>
  <si>
    <t>02356N</t>
  </si>
  <si>
    <t>Singapore Refining Company</t>
  </si>
  <si>
    <t>103° 42.573'</t>
  </si>
  <si>
    <t>1° 17.470'</t>
  </si>
  <si>
    <t>02975V</t>
  </si>
  <si>
    <t>103° 42.666'</t>
  </si>
  <si>
    <t>1° 17.408'</t>
  </si>
  <si>
    <t>103° 42.810'</t>
  </si>
  <si>
    <t>1° 17.443'</t>
  </si>
  <si>
    <t>103° 43.056'</t>
  </si>
  <si>
    <t>1° 17.386'</t>
  </si>
  <si>
    <t>02594A</t>
  </si>
  <si>
    <t>103° 43.183'</t>
  </si>
  <si>
    <t>1° 17.308'</t>
  </si>
  <si>
    <t>103° 43.220'</t>
  </si>
  <si>
    <t>1° 17.208'</t>
  </si>
  <si>
    <t>01532N</t>
  </si>
  <si>
    <t>Akzo Nobel Surface Chemistry</t>
  </si>
  <si>
    <t>103° 43.204'</t>
  </si>
  <si>
    <t>1° 17.107'</t>
  </si>
  <si>
    <t>103° 43.170'</t>
  </si>
  <si>
    <t>1° 16.968'</t>
  </si>
  <si>
    <t>01539P</t>
  </si>
  <si>
    <t>Linde Gas Singapore</t>
  </si>
  <si>
    <t>103° 43.001'</t>
  </si>
  <si>
    <t>1° 16.755'</t>
  </si>
  <si>
    <t>103° 42.873'</t>
  </si>
  <si>
    <t>1° 16.690'</t>
  </si>
  <si>
    <t>01622X</t>
  </si>
  <si>
    <t>Faci Asia Pacific</t>
  </si>
  <si>
    <t>103° 42.771'</t>
  </si>
  <si>
    <t>1° 16.647'</t>
  </si>
  <si>
    <t>01524V</t>
  </si>
  <si>
    <t>Stella Chemifa Singapore</t>
  </si>
  <si>
    <t>103° 42.709'</t>
  </si>
  <si>
    <t>1° 16.734'</t>
  </si>
  <si>
    <t>103° 42.680'</t>
  </si>
  <si>
    <t>1° 16.615'</t>
  </si>
  <si>
    <t>01217N</t>
  </si>
  <si>
    <t>103° 42.808'</t>
  </si>
  <si>
    <t>1° 16.570'</t>
  </si>
  <si>
    <t>103° 42.725'</t>
  </si>
  <si>
    <t>1° 16.577'</t>
  </si>
  <si>
    <t>03123L</t>
  </si>
  <si>
    <t>103° 42.659'</t>
  </si>
  <si>
    <t>1° 16.545'</t>
  </si>
  <si>
    <t>103° 42.589'</t>
  </si>
  <si>
    <t>1° 16.486'</t>
  </si>
  <si>
    <t>103° 42.516'</t>
  </si>
  <si>
    <t>1° 16.187'</t>
  </si>
  <si>
    <t>01035P</t>
  </si>
  <si>
    <t>Petrofac Training Institute</t>
  </si>
  <si>
    <t>103° 42.420'</t>
  </si>
  <si>
    <t>1° 16.146'</t>
  </si>
  <si>
    <t>01099A</t>
  </si>
  <si>
    <t>Oasis @ Sakra</t>
  </si>
  <si>
    <t>103° 42.261'</t>
  </si>
  <si>
    <t>1° 16.027'</t>
  </si>
  <si>
    <t>02992V</t>
  </si>
  <si>
    <t>Sumitomo Chemical Singapore</t>
  </si>
  <si>
    <t>103° 42.223'</t>
  </si>
  <si>
    <t>1° 15.878'</t>
  </si>
  <si>
    <t>00856N</t>
  </si>
  <si>
    <t>public building</t>
  </si>
  <si>
    <t>103° 42.175'</t>
  </si>
  <si>
    <t>1° 15.816'</t>
  </si>
  <si>
    <t>00860X</t>
  </si>
  <si>
    <t>Singapore Glacial Acrylic</t>
  </si>
  <si>
    <t>103° 42.137'</t>
  </si>
  <si>
    <t>1° 15.771'</t>
  </si>
  <si>
    <t>01875N</t>
  </si>
  <si>
    <t>Sumitomo Mitsui Construction</t>
  </si>
  <si>
    <t>103° 42.540'</t>
  </si>
  <si>
    <t>01945A</t>
  </si>
  <si>
    <t>Unimatec Singapore</t>
  </si>
  <si>
    <t>103° 42.595'</t>
  </si>
  <si>
    <t>1° 15.734'</t>
  </si>
  <si>
    <t>02418M</t>
  </si>
  <si>
    <t>Invista Singapore</t>
  </si>
  <si>
    <t>103° 42.642'</t>
  </si>
  <si>
    <t>1° 15.700'</t>
  </si>
  <si>
    <t>00854A</t>
  </si>
  <si>
    <t>Kuraray Asia Pacific</t>
  </si>
  <si>
    <t>103° 42.264'</t>
  </si>
  <si>
    <t>1° 15.559'</t>
  </si>
  <si>
    <t>02311N</t>
  </si>
  <si>
    <t>Du Pont Company Singapore</t>
  </si>
  <si>
    <t>103° 42.392'</t>
  </si>
  <si>
    <t>1° 15.499'</t>
  </si>
  <si>
    <t>02312X</t>
  </si>
  <si>
    <t>103° 42.398'</t>
  </si>
  <si>
    <t>1° 15.497'</t>
  </si>
  <si>
    <t>02313L</t>
  </si>
  <si>
    <t>103° 42.406'</t>
  </si>
  <si>
    <t>1° 15.493'</t>
  </si>
  <si>
    <t>01193N</t>
  </si>
  <si>
    <t>Vopak Terminal Singapore</t>
  </si>
  <si>
    <t>103° 42.533'</t>
  </si>
  <si>
    <t>1° 15.436'</t>
  </si>
  <si>
    <t>01195L</t>
  </si>
  <si>
    <t>103° 42.417'</t>
  </si>
  <si>
    <t>1° 15.468'</t>
  </si>
  <si>
    <t>02747M</t>
  </si>
  <si>
    <t>Celanese Singapore</t>
  </si>
  <si>
    <t>103° 42.323'</t>
  </si>
  <si>
    <t>1° 15.488'</t>
  </si>
  <si>
    <t>02749V</t>
  </si>
  <si>
    <t>Lucite International Asia Pacific</t>
  </si>
  <si>
    <t>103° 42.237'</t>
  </si>
  <si>
    <t>1° 15.522'</t>
  </si>
  <si>
    <t>103° 42.191'</t>
  </si>
  <si>
    <t>1° 15.543'</t>
  </si>
  <si>
    <t>01081W</t>
  </si>
  <si>
    <t>103° 42.091'</t>
  </si>
  <si>
    <t>1° 15.388'</t>
  </si>
  <si>
    <t>01082V</t>
  </si>
  <si>
    <t>Sembcorp Cogen</t>
  </si>
  <si>
    <t>103° 42.140'</t>
  </si>
  <si>
    <t>1° 15.201'</t>
  </si>
  <si>
    <t>01126A</t>
  </si>
  <si>
    <t>Sembcorp; Sakra Island Carbon Dioxide</t>
  </si>
  <si>
    <t>103° 42.105'</t>
  </si>
  <si>
    <t>1° 15.588'</t>
  </si>
  <si>
    <t>01705A</t>
  </si>
  <si>
    <t>103° 42.055'</t>
  </si>
  <si>
    <t>1° 15.620'</t>
  </si>
  <si>
    <t>01706K</t>
  </si>
  <si>
    <t>103° 41.964'</t>
  </si>
  <si>
    <t>1° 15.604'</t>
  </si>
  <si>
    <t>01708W</t>
  </si>
  <si>
    <t>Horizon Singapore Terminals</t>
  </si>
  <si>
    <t>103° 41.911'</t>
  </si>
  <si>
    <t>1° 15.536'</t>
  </si>
  <si>
    <t>00969P</t>
  </si>
  <si>
    <t>103° 41.934'</t>
  </si>
  <si>
    <t>1° 15.203'</t>
  </si>
  <si>
    <t>01653X</t>
  </si>
  <si>
    <t>Tate and Lyle Singapore</t>
  </si>
  <si>
    <t>103° 41.840'</t>
  </si>
  <si>
    <t>1° 15.206'</t>
  </si>
  <si>
    <t>01257V</t>
  </si>
  <si>
    <t>DIC Alkylphenol Singapopre</t>
  </si>
  <si>
    <t>103° 41.914'</t>
  </si>
  <si>
    <t>1° 15.278'</t>
  </si>
  <si>
    <t>01670X</t>
  </si>
  <si>
    <t>Asahi Kasei Plastics Singapore</t>
  </si>
  <si>
    <t>103° 41.886'</t>
  </si>
  <si>
    <t>1° 15.561'</t>
  </si>
  <si>
    <t>01002W</t>
  </si>
  <si>
    <t>Chemical Industries (Far East)</t>
  </si>
  <si>
    <t>103° 41.932'</t>
  </si>
  <si>
    <t>1° 15.716'</t>
  </si>
  <si>
    <t>103° 41.674'</t>
  </si>
  <si>
    <t>1° 15.591'</t>
  </si>
  <si>
    <t>01157A</t>
  </si>
  <si>
    <t>Mitsui Phenol Singapore</t>
  </si>
  <si>
    <t>103° 41.704'</t>
  </si>
  <si>
    <t>01079V</t>
  </si>
  <si>
    <t>103° 41.831'</t>
  </si>
  <si>
    <t>01160A</t>
  </si>
  <si>
    <t>Teijin Polycarbonate Singapore</t>
  </si>
  <si>
    <t>103° 41.676'</t>
  </si>
  <si>
    <t>1° 15.916'</t>
  </si>
  <si>
    <t>02187V</t>
  </si>
  <si>
    <t>Perstorp Singapore or Lonza Singapore</t>
  </si>
  <si>
    <t>103° 42.207'</t>
  </si>
  <si>
    <t>1° 15.919'</t>
  </si>
  <si>
    <t>02185M</t>
  </si>
  <si>
    <t>103° 42.132'</t>
  </si>
  <si>
    <t>1° 15.875'</t>
  </si>
  <si>
    <t>02188P</t>
  </si>
  <si>
    <t>103° 42.125'</t>
  </si>
  <si>
    <t>1° 15.825'</t>
  </si>
  <si>
    <t>00944K</t>
  </si>
  <si>
    <t>Perstorp Singapore</t>
  </si>
  <si>
    <t>103° 42.080'</t>
  </si>
  <si>
    <t>1° 15.782'</t>
  </si>
  <si>
    <t>00950L</t>
  </si>
  <si>
    <t>103° 41.952'</t>
  </si>
  <si>
    <t>1° 15.752'</t>
  </si>
  <si>
    <t>103° 41.893'</t>
  </si>
  <si>
    <t>01203N</t>
  </si>
  <si>
    <t>ExxonMobil Singapore Refinery</t>
  </si>
  <si>
    <t>103° 42.384'</t>
  </si>
  <si>
    <t>1° 16.196'</t>
  </si>
  <si>
    <t>00662A</t>
  </si>
  <si>
    <t>ExxonMobil Chemical Asia Pacific</t>
  </si>
  <si>
    <t>103° 42.303'</t>
  </si>
  <si>
    <t>1° 16.156'</t>
  </si>
  <si>
    <t>02603T</t>
  </si>
  <si>
    <t>103° 41.385'</t>
  </si>
  <si>
    <t>1° 16.004'</t>
  </si>
  <si>
    <t>103° 40.809'</t>
  </si>
  <si>
    <t>1° 16.874'</t>
  </si>
  <si>
    <t>00785X</t>
  </si>
  <si>
    <t>ExxonMobil Asia Pacific</t>
  </si>
  <si>
    <t>103° 41.023'</t>
  </si>
  <si>
    <t>1° 17.240'</t>
  </si>
  <si>
    <t>01046M</t>
  </si>
  <si>
    <t>Institute of Chemical and Engineering Sciences</t>
  </si>
  <si>
    <t>103° 40.770'</t>
  </si>
  <si>
    <t>103° 40.674'</t>
  </si>
  <si>
    <t>1° 16.935'</t>
  </si>
  <si>
    <t>01695A</t>
  </si>
  <si>
    <t>Keppel Merlimau Cogen</t>
  </si>
  <si>
    <t>103° 40.556'</t>
  </si>
  <si>
    <t>1° 16.971'</t>
  </si>
  <si>
    <t>103° 41.031'</t>
  </si>
  <si>
    <t>1° 16.207'</t>
  </si>
  <si>
    <t>02500T</t>
  </si>
  <si>
    <t>103° 40.991'</t>
  </si>
  <si>
    <t>1° 16.175'</t>
  </si>
  <si>
    <t>103° 40.923'</t>
  </si>
  <si>
    <t>1° 16.122'</t>
  </si>
  <si>
    <t>01636X</t>
  </si>
  <si>
    <t>103° 40.717'</t>
  </si>
  <si>
    <t>1° 15.971'</t>
  </si>
  <si>
    <t>01041K</t>
  </si>
  <si>
    <t>Katoen Natie Singapore</t>
  </si>
  <si>
    <t>103° 40.669'</t>
  </si>
  <si>
    <t>1° 15.678'</t>
  </si>
  <si>
    <t>02413K</t>
  </si>
  <si>
    <t>103° 40.757'</t>
  </si>
  <si>
    <t>1° 15.767'</t>
  </si>
  <si>
    <t>01702V</t>
  </si>
  <si>
    <t>103° 40.800'</t>
  </si>
  <si>
    <t>1° 15.757'</t>
  </si>
  <si>
    <t>103° 41.060'</t>
  </si>
  <si>
    <t>1° 15.532'</t>
  </si>
  <si>
    <t>01877L</t>
  </si>
  <si>
    <t>103° 40.651'</t>
  </si>
  <si>
    <t>1° 15.598'</t>
  </si>
  <si>
    <t>103° 40.745'</t>
  </si>
  <si>
    <t>1° 15.452'</t>
  </si>
  <si>
    <t>02970X</t>
  </si>
  <si>
    <t>LTH Logistics Singapore</t>
  </si>
  <si>
    <t>103° 40.777'</t>
  </si>
  <si>
    <t>1° 15.417'</t>
  </si>
  <si>
    <t>103° 40.857'</t>
  </si>
  <si>
    <t>1° 15.286'</t>
  </si>
  <si>
    <t>103° 41.081'</t>
  </si>
  <si>
    <t>1° 15.103'</t>
  </si>
  <si>
    <t>103° 41.134'</t>
  </si>
  <si>
    <t>1° 15.116'</t>
  </si>
  <si>
    <t>01708X</t>
  </si>
  <si>
    <t>Horizon Korea Holdings/Horizon Singapore Terminals</t>
  </si>
  <si>
    <t>103° 41.088'</t>
  </si>
  <si>
    <t>1° 14.959'</t>
  </si>
  <si>
    <t>103° 41.202'</t>
  </si>
  <si>
    <t>1° 14.609'</t>
  </si>
  <si>
    <t>01965X</t>
  </si>
  <si>
    <t>103° 41.164'</t>
  </si>
  <si>
    <t>1° 14.517'</t>
  </si>
  <si>
    <t>103° 40.808'</t>
  </si>
  <si>
    <t>1° 14.146'</t>
  </si>
  <si>
    <t>02135L</t>
  </si>
  <si>
    <t>Oiltanking Helios Singapore</t>
  </si>
  <si>
    <t>103° 40.619'</t>
  </si>
  <si>
    <t>1° 13.556'</t>
  </si>
  <si>
    <t>103° 40.448'</t>
  </si>
  <si>
    <t>1° 13.935'</t>
  </si>
  <si>
    <t>03040W</t>
  </si>
  <si>
    <t>Singapore LNG Terminal</t>
  </si>
  <si>
    <t>103° 40.546'</t>
  </si>
  <si>
    <t>1° 13.968'</t>
  </si>
  <si>
    <t>103° 40.681'</t>
  </si>
  <si>
    <t>1° 14.047'</t>
  </si>
  <si>
    <t>02812T</t>
  </si>
  <si>
    <t>103° 40.532'</t>
  </si>
  <si>
    <t>1° 14.018'</t>
  </si>
  <si>
    <t>103° 40.637'</t>
  </si>
  <si>
    <t>1° 14.079'</t>
  </si>
  <si>
    <t>103° 40.774'</t>
  </si>
  <si>
    <t>1° 14.204'</t>
  </si>
  <si>
    <t>103° 41.145'</t>
  </si>
  <si>
    <t>1° 14.649'</t>
  </si>
  <si>
    <t>103° 40.554'</t>
  </si>
  <si>
    <t>1° 14.672'</t>
  </si>
  <si>
    <t>103° 40.534'</t>
  </si>
  <si>
    <t>1° 14.729'</t>
  </si>
  <si>
    <t>103° 40.400'</t>
  </si>
  <si>
    <t>1° 14.720'</t>
  </si>
  <si>
    <t>103° 40.141'</t>
  </si>
  <si>
    <t>1° 15.225'</t>
  </si>
  <si>
    <t>103° 40.064'</t>
  </si>
  <si>
    <t>1° 15.376'</t>
  </si>
  <si>
    <t>103° 40.440'</t>
  </si>
  <si>
    <t>1° 14.783'</t>
  </si>
  <si>
    <t>103° 40.161'</t>
  </si>
  <si>
    <t>1° 15.373'</t>
  </si>
  <si>
    <t>01112A</t>
  </si>
  <si>
    <t>103° 40.107'</t>
  </si>
  <si>
    <t>1° 15.496'</t>
  </si>
  <si>
    <t>103° 40.483'</t>
  </si>
  <si>
    <t>1° 15.168'</t>
  </si>
  <si>
    <t>103° 40.346'</t>
  </si>
  <si>
    <t>1° 15.459'</t>
  </si>
  <si>
    <t>103° 40.275'</t>
  </si>
  <si>
    <t>1° 15.613'</t>
  </si>
  <si>
    <t>103° 40.845'</t>
  </si>
  <si>
    <t>1° 15.213'</t>
  </si>
  <si>
    <t>03144V</t>
  </si>
  <si>
    <t>Zeon Chemicals Singapore</t>
  </si>
  <si>
    <t>103° 40.580'</t>
  </si>
  <si>
    <t>01967C</t>
  </si>
  <si>
    <t>Jurong Island Maintenance Hub</t>
  </si>
  <si>
    <t>103° 40.495'</t>
  </si>
  <si>
    <t>1° 15.693'</t>
  </si>
  <si>
    <t>103° 40.449'</t>
  </si>
  <si>
    <t>1° 15.744'</t>
  </si>
  <si>
    <t>02965K</t>
  </si>
  <si>
    <t>Essar Projects &amp; Jurong Aromatics Corporation</t>
  </si>
  <si>
    <t>103° 40.018'</t>
  </si>
  <si>
    <t>1° 15.540'</t>
  </si>
  <si>
    <t>03231M</t>
  </si>
  <si>
    <t>Sembcorp Integrated Wastewater Treatment Plant</t>
  </si>
  <si>
    <t>103° 40.148'</t>
  </si>
  <si>
    <t>1° 15.640'</t>
  </si>
  <si>
    <t>103° 40.265'</t>
  </si>
  <si>
    <t>1° 15.719'</t>
  </si>
  <si>
    <t>103° 40.323'</t>
  </si>
  <si>
    <t>1° 15.762'</t>
  </si>
  <si>
    <t>103° 40.130'</t>
  </si>
  <si>
    <t>1° 15.841'</t>
  </si>
  <si>
    <t>02638X</t>
  </si>
  <si>
    <t>103° 40.038'</t>
  </si>
  <si>
    <t>1° 15.967'</t>
  </si>
  <si>
    <t>103° 39.867'</t>
  </si>
  <si>
    <t>1° 15.939'</t>
  </si>
  <si>
    <t>103° 39.872'</t>
  </si>
  <si>
    <t>1° 15.999'</t>
  </si>
  <si>
    <t>02938C</t>
  </si>
  <si>
    <t>Asahi Kasei Chemicals Corporation</t>
  </si>
  <si>
    <t>103° 39.745'</t>
  </si>
  <si>
    <t>1° 16.230'</t>
  </si>
  <si>
    <t>103° 39.679'</t>
  </si>
  <si>
    <t>1° 16.249'</t>
  </si>
  <si>
    <t>103° 39.728'</t>
  </si>
  <si>
    <t>1° 16.281'</t>
  </si>
  <si>
    <t>103° 39.940'</t>
  </si>
  <si>
    <t>1° 16.132'</t>
  </si>
  <si>
    <t>103° 39.852'</t>
  </si>
  <si>
    <t>1° 16.247'</t>
  </si>
  <si>
    <t>02816X</t>
  </si>
  <si>
    <t>Stolthaven Singapore (Terminals)</t>
  </si>
  <si>
    <t>103° 39.848'</t>
  </si>
  <si>
    <t>1° 16.369'</t>
  </si>
  <si>
    <t>02814K</t>
  </si>
  <si>
    <t>Tembusu Multi-Utilities Complex</t>
  </si>
  <si>
    <t>103° 40.030'</t>
  </si>
  <si>
    <t>1° 16.504'</t>
  </si>
  <si>
    <t>103° 40.205'</t>
  </si>
  <si>
    <t>1° 16.633'</t>
  </si>
  <si>
    <t>103° 40.421'</t>
  </si>
  <si>
    <t>103° 40.379'</t>
  </si>
  <si>
    <t>1° 16.383'</t>
  </si>
  <si>
    <t>103° 40.466'</t>
  </si>
  <si>
    <t>1° 16.445'</t>
  </si>
  <si>
    <t>103° 40.524'</t>
  </si>
  <si>
    <t>103° 40.605'</t>
  </si>
  <si>
    <t>1° 16.616'</t>
  </si>
  <si>
    <t>103° 40.702'</t>
  </si>
  <si>
    <t>1° 16.531'</t>
  </si>
  <si>
    <t>02940L</t>
  </si>
  <si>
    <t>103° 40.443'</t>
  </si>
  <si>
    <t>1° 16.349'</t>
  </si>
  <si>
    <t>02831K</t>
  </si>
  <si>
    <t>103° 40.334'</t>
  </si>
  <si>
    <t>1° 16.272'</t>
  </si>
  <si>
    <t>103° 40.274'</t>
  </si>
  <si>
    <t>1° 16.092'</t>
  </si>
  <si>
    <t>03065L</t>
  </si>
  <si>
    <t>103° 40.351'</t>
  </si>
  <si>
    <t>1° 15.985'</t>
  </si>
  <si>
    <t>103° 40.789'</t>
  </si>
  <si>
    <t>1° 16.099'</t>
  </si>
  <si>
    <t>01771K</t>
  </si>
  <si>
    <t>Ciba Industries (Singapore)</t>
  </si>
  <si>
    <t>103° 40.905'</t>
  </si>
  <si>
    <t>1° 16.184'</t>
  </si>
  <si>
    <t>02261W</t>
  </si>
  <si>
    <t>Si Group Singapore</t>
  </si>
  <si>
    <t>103° 40.960'</t>
  </si>
  <si>
    <t>1° 16.221'</t>
  </si>
  <si>
    <t>Unidentified</t>
  </si>
  <si>
    <t>103° 42.582'</t>
  </si>
  <si>
    <t>1° 17.484'</t>
  </si>
  <si>
    <t>103° 39.682'</t>
  </si>
  <si>
    <t>1° 15.843'</t>
  </si>
  <si>
    <t>103° 39.511'</t>
  </si>
  <si>
    <t>1° 16.104'</t>
  </si>
  <si>
    <t>103° 39.821'</t>
  </si>
  <si>
    <t>1° 15.370'</t>
  </si>
  <si>
    <t>103° 41.201'</t>
  </si>
  <si>
    <t>1° 15.187'</t>
  </si>
  <si>
    <t>103° 41.806'</t>
  </si>
  <si>
    <t>1° 15.352'</t>
  </si>
  <si>
    <t>103° 41.633'</t>
  </si>
  <si>
    <t>103° 41.607'</t>
  </si>
  <si>
    <t>1° 15.685'</t>
  </si>
  <si>
    <t>103° 42.821'</t>
  </si>
  <si>
    <t>1° 15.615'</t>
  </si>
  <si>
    <t>103° 43.441'</t>
  </si>
  <si>
    <t>1° 17.201'</t>
  </si>
  <si>
    <t>103° 44.157'</t>
  </si>
  <si>
    <t>1° 16.228'</t>
  </si>
  <si>
    <t>103° 43.911'</t>
  </si>
  <si>
    <t>1° 16.731'</t>
  </si>
  <si>
    <t>103° 43.324'</t>
  </si>
  <si>
    <t>1° 15.652'</t>
  </si>
  <si>
    <t>103° 42.896'</t>
  </si>
  <si>
    <t>1° 15.879'</t>
  </si>
  <si>
    <t>103° 42.570'</t>
  </si>
  <si>
    <t>1° 16.328'</t>
  </si>
  <si>
    <t>103° 43.564'</t>
  </si>
  <si>
    <t>1° 16.342'</t>
  </si>
  <si>
    <t>103° 43.179'</t>
  </si>
  <si>
    <t>1° 16.419'</t>
  </si>
  <si>
    <t>Polygon</t>
  </si>
  <si>
    <t>Seraya 1</t>
  </si>
  <si>
    <t>Seraya 2</t>
  </si>
  <si>
    <t>Seraya 3</t>
  </si>
  <si>
    <t>SembCorp Cogen</t>
  </si>
  <si>
    <t>Keppel Merlimau</t>
  </si>
  <si>
    <t>Main Island</t>
  </si>
  <si>
    <t>103° 43.554'</t>
  </si>
  <si>
    <t>1° 16.846'</t>
  </si>
  <si>
    <t>103° 43.630'</t>
  </si>
  <si>
    <t>1° 16.769'</t>
  </si>
  <si>
    <t>103° 43.709'</t>
  </si>
  <si>
    <t>1° 16.691'</t>
  </si>
  <si>
    <t>103° 42.168'</t>
  </si>
  <si>
    <t>1° 15.249'</t>
  </si>
  <si>
    <t>103° 40.442'</t>
  </si>
  <si>
    <t>1° 16.922'</t>
  </si>
  <si>
    <t>103° 42.695'</t>
  </si>
  <si>
    <t>1° 17.776'</t>
  </si>
  <si>
    <t>103° 40.477'</t>
  </si>
  <si>
    <t>1° 15.889'</t>
  </si>
  <si>
    <t>103° 43.138'</t>
  </si>
  <si>
    <t>1° 16.820'</t>
  </si>
  <si>
    <t>103° 42.238'</t>
  </si>
  <si>
    <t>1° 16.080'</t>
  </si>
  <si>
    <t>103° 41.102'</t>
  </si>
  <si>
    <t>1° 16.255'</t>
  </si>
  <si>
    <t>103° 43.245'</t>
  </si>
  <si>
    <t>1° 17.137'</t>
  </si>
  <si>
    <t>103° 43.411'</t>
  </si>
  <si>
    <t>1° 16.478'</t>
  </si>
  <si>
    <t>103° 42.795'</t>
  </si>
  <si>
    <t>1° 16.625'</t>
  </si>
  <si>
    <t>103° 42.214'</t>
  </si>
  <si>
    <t>1° 16.053'</t>
  </si>
  <si>
    <t>103° 42.014'</t>
  </si>
  <si>
    <t>1° 15.661'</t>
  </si>
  <si>
    <t>103° 41.054'</t>
  </si>
  <si>
    <t>1° 16.304'</t>
  </si>
  <si>
    <t>103° 40.943'</t>
  </si>
  <si>
    <t>1° 15.037'</t>
  </si>
  <si>
    <t>103° 39.961'</t>
  </si>
  <si>
    <t>1° 16.006'</t>
  </si>
  <si>
    <t>103° 43.016'</t>
  </si>
  <si>
    <t>1° 16.246'</t>
  </si>
  <si>
    <t>LongD</t>
  </si>
  <si>
    <t>LatD</t>
  </si>
  <si>
    <t>Seraya Genset 2</t>
  </si>
  <si>
    <t>Seraya Genset 3</t>
  </si>
  <si>
    <t>Seraya Genset 4</t>
  </si>
  <si>
    <t>B (Ohm/km)</t>
  </si>
  <si>
    <t>Ref 4  -- connexion rules in SG</t>
  </si>
  <si>
    <t>https://www.spgroup.com.sg/wcm/connect/spgrp/a6da2da5-ff92-4e9d-9a0a-d3de57e1c3b5/%5BGuide%5D+How+to+Apply+for+Electricity+Connection_Sep+2016.pdf?MOD=AJPERES</t>
  </si>
  <si>
    <t>Shell Chemicals Seraya/EHT Substation 10(66kV)</t>
  </si>
  <si>
    <t>EHT Substation 10(22kV)</t>
  </si>
  <si>
    <t>Ref 5 -- 3 cores XLPE for 22 kV</t>
  </si>
  <si>
    <t>Keppel Merlimau Genset 1</t>
  </si>
  <si>
    <t>Keppel Merlimau Genset 2</t>
  </si>
  <si>
    <t>Keppel Merlimau Genset 3</t>
  </si>
  <si>
    <t>Keppel Merlimau Genset 4</t>
  </si>
  <si>
    <t>PacificLight Power 1</t>
  </si>
  <si>
    <t>PacificLight Power 2</t>
  </si>
  <si>
    <t>Sembcorp Genset 1</t>
  </si>
  <si>
    <t>Sembcorp Genset 2</t>
  </si>
  <si>
    <t>Sembcorp Genset 3</t>
  </si>
  <si>
    <t>Pf</t>
  </si>
  <si>
    <t>Surface Chemistry</t>
  </si>
  <si>
    <t>Office</t>
  </si>
  <si>
    <t>Biodiesel</t>
  </si>
  <si>
    <t>Constructions materials and Chemicals</t>
  </si>
  <si>
    <t>Polycondensation Products</t>
  </si>
  <si>
    <t>Refinery</t>
  </si>
  <si>
    <t>Alkoxylates Chemicals</t>
  </si>
  <si>
    <t>Jeffamine  Chemicals</t>
  </si>
  <si>
    <t>Oil Storage</t>
  </si>
  <si>
    <t>Chemicals</t>
  </si>
  <si>
    <t>Ethoxylated Surfactants Chemicals</t>
  </si>
  <si>
    <t xml:space="preserve"> Ethylene Chemicals</t>
  </si>
  <si>
    <t>Acrylic</t>
  </si>
  <si>
    <t>Petro Chemicals</t>
  </si>
  <si>
    <t>Rubber  Chemicals</t>
  </si>
  <si>
    <t>Polyolefin Chemicals</t>
  </si>
  <si>
    <t>Housing</t>
  </si>
  <si>
    <t>Singas, Hydrogen..</t>
  </si>
  <si>
    <t>Office Food</t>
  </si>
  <si>
    <t>Gas suplier</t>
  </si>
  <si>
    <t>Training Facilities</t>
  </si>
  <si>
    <t>Acrylic Chemicals</t>
  </si>
  <si>
    <t>Acryilic Rubber</t>
  </si>
  <si>
    <t>Warehouse</t>
  </si>
  <si>
    <t>Polymer Chemical</t>
  </si>
  <si>
    <t>Acetyls Chemicals</t>
  </si>
  <si>
    <t>Storage</t>
  </si>
  <si>
    <t>Resins Chemicals</t>
  </si>
  <si>
    <t>Polymer Chemicals</t>
  </si>
  <si>
    <t>Lubricant Chemicals</t>
  </si>
  <si>
    <t>Chemicals Gas</t>
  </si>
  <si>
    <t>Aromatics  Chemicals</t>
  </si>
  <si>
    <t>Chemicals Bio-Fuel</t>
  </si>
  <si>
    <t>Pharmaceutical  Chemicals</t>
  </si>
  <si>
    <t>Antioxydants  Chemicals</t>
  </si>
  <si>
    <t>Water Treatment</t>
  </si>
  <si>
    <t>???</t>
  </si>
  <si>
    <t>SG Main Grid</t>
  </si>
  <si>
    <t>Max Load P</t>
  </si>
  <si>
    <t>Max_LoadQ</t>
  </si>
  <si>
    <t>Coeff Mult Iimpedance (Length)</t>
  </si>
  <si>
    <t>Branch Voltage</t>
  </si>
  <si>
    <t>Max Load S</t>
  </si>
  <si>
    <t>Oiltanking Odfjell p1</t>
  </si>
  <si>
    <t>Type Load</t>
  </si>
  <si>
    <t>Pd ref</t>
  </si>
  <si>
    <t>Gd ref</t>
  </si>
  <si>
    <t>Estimated MAX MVA  - Power Flow</t>
  </si>
  <si>
    <t>Load Test</t>
  </si>
  <si>
    <t>Max  Load</t>
  </si>
  <si>
    <t>Example Max point random load</t>
  </si>
  <si>
    <t>Miscellaneous Load</t>
  </si>
  <si>
    <t>Generator Connection</t>
  </si>
  <si>
    <t>Substation</t>
  </si>
  <si>
    <t xml:space="preserve">The physical generators are more closely related to the electrical Generator class than the electrical Bus class. </t>
  </si>
  <si>
    <t>NOTE</t>
  </si>
  <si>
    <t xml:space="preserve">As such I have called the generator bus connections 'generator connections'. </t>
  </si>
  <si>
    <t xml:space="preserve">While chemical loads will have corresponding electrical buses, chemical generators will have corresponding electrical generators. </t>
  </si>
  <si>
    <t>At the same time, however, the properties of the generation connection buses are the same as will apply to the generators themselves (eg. GPS)</t>
  </si>
  <si>
    <t xml:space="preserve">(A generator connection can have multiple physical generators attached). </t>
  </si>
  <si>
    <t>DieselGenerators</t>
  </si>
  <si>
    <t>ChemicalPlant</t>
  </si>
  <si>
    <t>EHT Substation 10 (22kV)</t>
  </si>
  <si>
    <t>Building</t>
  </si>
  <si>
    <t>TankFarm</t>
  </si>
  <si>
    <t>KNS Warehouse</t>
  </si>
  <si>
    <t>Chang Chun</t>
  </si>
  <si>
    <t>General classification</t>
  </si>
  <si>
    <t>Class in owl file</t>
  </si>
  <si>
    <t>Bus name</t>
  </si>
  <si>
    <t>Bus number</t>
  </si>
  <si>
    <t>Red coloured Font= bus which is unclear what classification is that</t>
  </si>
  <si>
    <t>yellow highlighted = just dummy bus that can be ignored</t>
  </si>
  <si>
    <t>CogenPlant</t>
  </si>
  <si>
    <t>UtilityPlant</t>
  </si>
  <si>
    <t>File Name</t>
  </si>
  <si>
    <t>Not included</t>
  </si>
  <si>
    <t>EBus-062 (note: it is 062, but if I type '062' excel replaces it with 62)</t>
  </si>
  <si>
    <t>NO SPACES, '/'s OR BRACKETS (replaced with '_')</t>
  </si>
  <si>
    <t>Shell Chemicals Seraya-EHT Substation 10(66kV)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</si>
</sst>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5"/>
      <name val="Calibri"/>
      <family val="2"/>
      <scheme val="minor"/>
    </font>
    <font>
      <sz val="11"/>
      <color theme="5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indexed="64"/>
      </right>
      <top/>
      <bottom style="thin">
        <color rgb="FFB2B2B2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90">
    <xf numFmtId="0" fontId="0" fillId="0" borderId="0" xfId="0"/>
    <xf numFmtId="0" fontId="16" fillId="0" borderId="0" xfId="0" applyFont="1"/>
    <xf numFmtId="0" fontId="0" fillId="0" borderId="0" xfId="0" applyAlignment="1">
      <alignment horizontal="center" vertical="center"/>
    </xf>
    <xf numFmtId="0" fontId="19" fillId="33" borderId="10" xfId="0" applyFont="1" applyFill="1" applyBorder="1" applyAlignment="1">
      <alignment horizontal="center" vertical="center"/>
    </xf>
    <xf numFmtId="0" fontId="0" fillId="33" borderId="10" xfId="0" applyFill="1" applyBorder="1" applyAlignment="1">
      <alignment horizontal="center" vertical="center"/>
    </xf>
    <xf numFmtId="0" fontId="0" fillId="34" borderId="10" xfId="0" applyFill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4" fillId="33" borderId="10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35" borderId="10" xfId="0" applyFont="1" applyFill="1" applyBorder="1" applyAlignment="1">
      <alignment horizontal="center" vertical="center"/>
    </xf>
    <xf numFmtId="0" fontId="0" fillId="0" borderId="10" xfId="0" applyBorder="1"/>
    <xf numFmtId="0" fontId="0" fillId="0" borderId="0" xfId="0" applyAlignment="1">
      <alignment vertical="center"/>
    </xf>
    <xf numFmtId="0" fontId="0" fillId="36" borderId="10" xfId="0" applyFill="1" applyBorder="1" applyAlignment="1">
      <alignment horizontal="center" vertical="center"/>
    </xf>
    <xf numFmtId="0" fontId="21" fillId="33" borderId="0" xfId="0" applyFont="1" applyFill="1"/>
    <xf numFmtId="0" fontId="0" fillId="33" borderId="0" xfId="0" applyFill="1"/>
    <xf numFmtId="2" fontId="0" fillId="0" borderId="0" xfId="0" applyNumberFormat="1"/>
    <xf numFmtId="0" fontId="0" fillId="0" borderId="0" xfId="0" applyAlignment="1">
      <alignment wrapText="1"/>
    </xf>
    <xf numFmtId="0" fontId="21" fillId="33" borderId="0" xfId="0" applyFont="1" applyFill="1" applyAlignment="1">
      <alignment horizontal="center" vertical="center"/>
    </xf>
    <xf numFmtId="0" fontId="0" fillId="33" borderId="0" xfId="0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6" fillId="35" borderId="10" xfId="0" applyFont="1" applyFill="1" applyBorder="1" applyAlignment="1">
      <alignment horizontal="center" vertical="center" wrapText="1"/>
    </xf>
    <xf numFmtId="2" fontId="16" fillId="35" borderId="10" xfId="0" applyNumberFormat="1" applyFont="1" applyFill="1" applyBorder="1" applyAlignment="1">
      <alignment horizontal="center" vertical="center" wrapText="1"/>
    </xf>
    <xf numFmtId="0" fontId="16" fillId="35" borderId="10" xfId="0" applyFont="1" applyFill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10" xfId="0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35" borderId="10" xfId="0" applyFont="1" applyFill="1" applyBorder="1" applyAlignment="1">
      <alignment horizontal="center"/>
    </xf>
    <xf numFmtId="0" fontId="23" fillId="0" borderId="10" xfId="0" applyFont="1" applyBorder="1" applyAlignment="1">
      <alignment horizontal="center" vertical="center"/>
    </xf>
    <xf numFmtId="0" fontId="16" fillId="34" borderId="10" xfId="0" applyFont="1" applyFill="1" applyBorder="1" applyAlignment="1">
      <alignment horizontal="center" vertical="center"/>
    </xf>
    <xf numFmtId="0" fontId="16" fillId="36" borderId="10" xfId="0" applyFont="1" applyFill="1" applyBorder="1" applyAlignment="1">
      <alignment horizontal="center" vertical="center"/>
    </xf>
    <xf numFmtId="1" fontId="18" fillId="35" borderId="10" xfId="0" applyNumberFormat="1" applyFont="1" applyFill="1" applyBorder="1" applyAlignment="1">
      <alignment horizontal="center" vertical="center" wrapText="1"/>
    </xf>
    <xf numFmtId="0" fontId="25" fillId="0" borderId="0" xfId="0" applyFont="1"/>
    <xf numFmtId="11" fontId="18" fillId="35" borderId="10" xfId="0" applyNumberFormat="1" applyFont="1" applyFill="1" applyBorder="1" applyAlignment="1">
      <alignment horizontal="center" vertical="center"/>
    </xf>
    <xf numFmtId="11" fontId="0" fillId="33" borderId="10" xfId="0" applyNumberFormat="1" applyFill="1" applyBorder="1" applyAlignment="1">
      <alignment horizontal="center" vertical="center"/>
    </xf>
    <xf numFmtId="11" fontId="16" fillId="33" borderId="10" xfId="0" applyNumberFormat="1" applyFont="1" applyFill="1" applyBorder="1" applyAlignment="1">
      <alignment horizontal="center" vertical="center"/>
    </xf>
    <xf numFmtId="11" fontId="0" fillId="0" borderId="0" xfId="0" applyNumberFormat="1"/>
    <xf numFmtId="164" fontId="23" fillId="0" borderId="10" xfId="0" applyNumberFormat="1" applyFont="1" applyBorder="1" applyAlignment="1">
      <alignment horizontal="center"/>
    </xf>
    <xf numFmtId="0" fontId="27" fillId="0" borderId="0" xfId="0" applyFont="1"/>
    <xf numFmtId="0" fontId="16" fillId="0" borderId="0" xfId="0" applyFont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1" fontId="0" fillId="0" borderId="0" xfId="0" applyNumberFormat="1" applyFill="1" applyAlignment="1">
      <alignment horizontal="center" vertical="center"/>
    </xf>
    <xf numFmtId="1" fontId="18" fillId="35" borderId="11" xfId="0" applyNumberFormat="1" applyFont="1" applyFill="1" applyBorder="1" applyAlignment="1">
      <alignment horizontal="center" vertical="center" wrapText="1"/>
    </xf>
    <xf numFmtId="2" fontId="0" fillId="36" borderId="10" xfId="0" applyNumberFormat="1" applyFill="1" applyBorder="1" applyAlignment="1">
      <alignment horizontal="center" vertical="center"/>
    </xf>
    <xf numFmtId="0" fontId="0" fillId="36" borderId="10" xfId="0" applyFill="1" applyBorder="1" applyAlignment="1">
      <alignment horizontal="center" vertical="center" wrapText="1"/>
    </xf>
    <xf numFmtId="0" fontId="26" fillId="36" borderId="10" xfId="0" applyFont="1" applyFill="1" applyBorder="1" applyAlignment="1">
      <alignment horizontal="center" vertical="center"/>
    </xf>
    <xf numFmtId="0" fontId="22" fillId="36" borderId="10" xfId="0" applyFont="1" applyFill="1" applyBorder="1" applyAlignment="1">
      <alignment horizontal="center" vertical="center"/>
    </xf>
    <xf numFmtId="0" fontId="24" fillId="36" borderId="10" xfId="0" applyFont="1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0" fontId="16" fillId="35" borderId="10" xfId="0" applyFont="1" applyFill="1" applyBorder="1" applyAlignment="1">
      <alignment horizontal="center" vertical="center"/>
    </xf>
    <xf numFmtId="0" fontId="14" fillId="33" borderId="11" xfId="0" applyFont="1" applyFill="1" applyBorder="1" applyAlignment="1">
      <alignment horizontal="center" vertical="center"/>
    </xf>
    <xf numFmtId="0" fontId="18" fillId="35" borderId="12" xfId="0" applyFont="1" applyFill="1" applyBorder="1" applyAlignment="1">
      <alignment horizontal="center" vertical="center"/>
    </xf>
    <xf numFmtId="0" fontId="0" fillId="0" borderId="0" xfId="0" applyBorder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6" fillId="35" borderId="11" xfId="0" applyFont="1" applyFill="1" applyBorder="1" applyAlignment="1">
      <alignment horizontal="center" vertical="center"/>
    </xf>
    <xf numFmtId="0" fontId="0" fillId="0" borderId="11" xfId="0" applyBorder="1"/>
    <xf numFmtId="0" fontId="14" fillId="36" borderId="10" xfId="0" applyFont="1" applyFill="1" applyBorder="1" applyAlignment="1">
      <alignment horizontal="center" vertical="center"/>
    </xf>
    <xf numFmtId="0" fontId="25" fillId="36" borderId="10" xfId="0" applyFont="1" applyFill="1" applyBorder="1" applyAlignment="1">
      <alignment horizontal="center" vertical="center"/>
    </xf>
    <xf numFmtId="0" fontId="19" fillId="38" borderId="10" xfId="0" applyFont="1" applyFill="1" applyBorder="1" applyAlignment="1">
      <alignment horizontal="center" vertical="center"/>
    </xf>
    <xf numFmtId="11" fontId="0" fillId="38" borderId="10" xfId="0" applyNumberFormat="1" applyFill="1" applyBorder="1" applyAlignment="1">
      <alignment horizontal="center" vertical="center"/>
    </xf>
    <xf numFmtId="0" fontId="23" fillId="38" borderId="10" xfId="0" applyFont="1" applyFill="1" applyBorder="1" applyAlignment="1">
      <alignment horizontal="center" vertical="center"/>
    </xf>
    <xf numFmtId="0" fontId="0" fillId="38" borderId="10" xfId="0" applyFill="1" applyBorder="1" applyAlignment="1">
      <alignment horizontal="center" vertical="center"/>
    </xf>
    <xf numFmtId="0" fontId="20" fillId="38" borderId="10" xfId="0" applyFont="1" applyFill="1" applyBorder="1" applyAlignment="1">
      <alignment horizontal="center" vertical="center"/>
    </xf>
    <xf numFmtId="0" fontId="19" fillId="36" borderId="10" xfId="0" applyFont="1" applyFill="1" applyBorder="1" applyAlignment="1">
      <alignment horizontal="center" vertical="center"/>
    </xf>
    <xf numFmtId="0" fontId="14" fillId="36" borderId="11" xfId="0" applyFont="1" applyFill="1" applyBorder="1" applyAlignment="1">
      <alignment horizontal="center" vertical="center"/>
    </xf>
    <xf numFmtId="0" fontId="19" fillId="37" borderId="10" xfId="0" applyFont="1" applyFill="1" applyBorder="1" applyAlignment="1">
      <alignment horizontal="center" vertical="center"/>
    </xf>
    <xf numFmtId="0" fontId="0" fillId="37" borderId="10" xfId="0" applyFill="1" applyBorder="1" applyAlignment="1">
      <alignment horizontal="center" vertical="center"/>
    </xf>
    <xf numFmtId="0" fontId="14" fillId="37" borderId="10" xfId="0" applyFont="1" applyFill="1" applyBorder="1" applyAlignment="1">
      <alignment horizontal="center" vertical="center"/>
    </xf>
    <xf numFmtId="0" fontId="14" fillId="37" borderId="11" xfId="0" applyFont="1" applyFill="1" applyBorder="1" applyAlignment="1">
      <alignment horizontal="center" vertical="center"/>
    </xf>
    <xf numFmtId="0" fontId="19" fillId="39" borderId="10" xfId="0" applyFont="1" applyFill="1" applyBorder="1" applyAlignment="1">
      <alignment horizontal="center" vertical="center"/>
    </xf>
    <xf numFmtId="0" fontId="0" fillId="39" borderId="10" xfId="0" applyFill="1" applyBorder="1" applyAlignment="1">
      <alignment horizontal="center" vertical="center"/>
    </xf>
    <xf numFmtId="0" fontId="14" fillId="39" borderId="10" xfId="0" applyFont="1" applyFill="1" applyBorder="1" applyAlignment="1">
      <alignment horizontal="center" vertical="center"/>
    </xf>
    <xf numFmtId="0" fontId="14" fillId="39" borderId="11" xfId="0" applyFont="1" applyFill="1" applyBorder="1" applyAlignment="1">
      <alignment horizontal="center" vertical="center"/>
    </xf>
    <xf numFmtId="0" fontId="19" fillId="34" borderId="10" xfId="0" applyFont="1" applyFill="1" applyBorder="1" applyAlignment="1">
      <alignment horizontal="center" vertical="center"/>
    </xf>
    <xf numFmtId="0" fontId="14" fillId="34" borderId="10" xfId="0" applyFont="1" applyFill="1" applyBorder="1" applyAlignment="1">
      <alignment horizontal="center" vertical="center"/>
    </xf>
    <xf numFmtId="0" fontId="14" fillId="34" borderId="11" xfId="0" applyFont="1" applyFill="1" applyBorder="1" applyAlignment="1">
      <alignment horizontal="center" vertical="center"/>
    </xf>
    <xf numFmtId="0" fontId="14" fillId="0" borderId="13" xfId="0" applyFont="1" applyFill="1" applyBorder="1" applyAlignment="1">
      <alignment horizontal="center" vertical="center"/>
    </xf>
    <xf numFmtId="0" fontId="14" fillId="0" borderId="14" xfId="0" applyFont="1" applyFill="1" applyBorder="1" applyAlignment="1">
      <alignment horizontal="center" vertical="center"/>
    </xf>
    <xf numFmtId="0" fontId="14" fillId="0" borderId="15" xfId="0" applyFont="1" applyFill="1" applyBorder="1" applyAlignment="1">
      <alignment horizontal="center" vertical="center"/>
    </xf>
    <xf numFmtId="0" fontId="14" fillId="0" borderId="16" xfId="0" applyFont="1" applyFill="1" applyBorder="1" applyAlignment="1">
      <alignment horizontal="center" vertical="center"/>
    </xf>
    <xf numFmtId="11" fontId="23" fillId="0" borderId="10" xfId="0" applyNumberFormat="1" applyFont="1" applyBorder="1" applyAlignment="1">
      <alignment horizontal="center" vertical="center"/>
    </xf>
    <xf numFmtId="11" fontId="0" fillId="0" borderId="10" xfId="0" applyNumberFormat="1" applyBorder="1"/>
    <xf numFmtId="11" fontId="0" fillId="36" borderId="10" xfId="0" applyNumberFormat="1" applyFill="1" applyBorder="1"/>
    <xf numFmtId="11" fontId="16" fillId="38" borderId="10" xfId="0" applyNumberFormat="1" applyFont="1" applyFill="1" applyBorder="1" applyAlignment="1">
      <alignment horizontal="center" vertical="center"/>
    </xf>
    <xf numFmtId="0" fontId="16" fillId="38" borderId="10" xfId="0" applyFont="1" applyFill="1" applyBorder="1" applyAlignment="1">
      <alignment horizontal="center" vertical="center"/>
    </xf>
    <xf numFmtId="1" fontId="19" fillId="37" borderId="10" xfId="0" applyNumberFormat="1" applyFont="1" applyFill="1" applyBorder="1" applyAlignment="1">
      <alignment horizontal="center" vertical="center"/>
    </xf>
    <xf numFmtId="2" fontId="0" fillId="0" borderId="10" xfId="0" applyNumberFormat="1" applyBorder="1" applyAlignment="1">
      <alignment horizontal="center"/>
    </xf>
    <xf numFmtId="0" fontId="0" fillId="35" borderId="10" xfId="0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8" fillId="35" borderId="10" xfId="0" applyFont="1" applyFill="1" applyBorder="1" applyAlignment="1">
      <alignment horizontal="center" vertical="center"/>
    </xf>
    <xf numFmtId="0" fontId="28" fillId="37" borderId="10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19" fillId="42" borderId="10" xfId="0" applyFont="1" applyFill="1" applyBorder="1" applyAlignment="1">
      <alignment horizontal="center" vertical="center"/>
    </xf>
    <xf numFmtId="0" fontId="0" fillId="42" borderId="10" xfId="0" applyFill="1" applyBorder="1" applyAlignment="1">
      <alignment horizontal="center" vertical="center"/>
    </xf>
    <xf numFmtId="0" fontId="0" fillId="42" borderId="10" xfId="0" applyFill="1" applyBorder="1"/>
    <xf numFmtId="0" fontId="28" fillId="0" borderId="0" xfId="0" applyFont="1" applyFill="1" applyBorder="1" applyAlignment="1">
      <alignment horizontal="center" vertical="center"/>
    </xf>
    <xf numFmtId="1" fontId="0" fillId="37" borderId="10" xfId="0" applyNumberFormat="1" applyFill="1" applyBorder="1" applyAlignment="1">
      <alignment horizontal="center"/>
    </xf>
    <xf numFmtId="0" fontId="26" fillId="0" borderId="10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19" fillId="43" borderId="10" xfId="0" applyFont="1" applyFill="1" applyBorder="1" applyAlignment="1">
      <alignment horizontal="center" vertical="center"/>
    </xf>
    <xf numFmtId="11" fontId="0" fillId="43" borderId="10" xfId="0" applyNumberFormat="1" applyFill="1" applyBorder="1" applyAlignment="1">
      <alignment horizontal="center" vertical="center"/>
    </xf>
    <xf numFmtId="0" fontId="23" fillId="43" borderId="10" xfId="0" applyFont="1" applyFill="1" applyBorder="1" applyAlignment="1">
      <alignment horizontal="center" vertical="center"/>
    </xf>
    <xf numFmtId="0" fontId="0" fillId="43" borderId="10" xfId="0" applyFill="1" applyBorder="1" applyAlignment="1">
      <alignment horizontal="center" vertical="center"/>
    </xf>
    <xf numFmtId="0" fontId="20" fillId="43" borderId="10" xfId="0" applyFont="1" applyFill="1" applyBorder="1" applyAlignment="1">
      <alignment horizontal="center" vertical="center"/>
    </xf>
    <xf numFmtId="0" fontId="16" fillId="35" borderId="10" xfId="0" applyFont="1" applyFill="1" applyBorder="1" applyAlignment="1">
      <alignment horizontal="center" vertical="center"/>
    </xf>
    <xf numFmtId="0" fontId="20" fillId="42" borderId="10" xfId="0" applyFont="1" applyFill="1" applyBorder="1" applyAlignment="1">
      <alignment horizontal="center" vertical="center"/>
    </xf>
    <xf numFmtId="0" fontId="21" fillId="42" borderId="10" xfId="0" applyFont="1" applyFill="1" applyBorder="1" applyAlignment="1">
      <alignment horizontal="center" vertical="center"/>
    </xf>
    <xf numFmtId="0" fontId="16" fillId="35" borderId="0" xfId="0" applyFont="1" applyFill="1" applyBorder="1" applyAlignment="1">
      <alignment horizontal="center" vertical="center"/>
    </xf>
    <xf numFmtId="0" fontId="22" fillId="37" borderId="10" xfId="0" applyFont="1" applyFill="1" applyBorder="1" applyAlignment="1">
      <alignment horizontal="center" vertical="center"/>
    </xf>
    <xf numFmtId="2" fontId="16" fillId="35" borderId="10" xfId="0" applyNumberFormat="1" applyFont="1" applyFill="1" applyBorder="1" applyAlignment="1">
      <alignment horizontal="center" vertical="center"/>
    </xf>
    <xf numFmtId="0" fontId="19" fillId="44" borderId="10" xfId="0" applyFont="1" applyFill="1" applyBorder="1" applyAlignment="1">
      <alignment horizontal="center" vertical="center"/>
    </xf>
    <xf numFmtId="11" fontId="0" fillId="44" borderId="10" xfId="0" applyNumberFormat="1" applyFill="1" applyBorder="1" applyAlignment="1">
      <alignment horizontal="center" vertical="center"/>
    </xf>
    <xf numFmtId="0" fontId="23" fillId="44" borderId="10" xfId="0" applyFont="1" applyFill="1" applyBorder="1" applyAlignment="1">
      <alignment horizontal="center" vertical="center"/>
    </xf>
    <xf numFmtId="0" fontId="0" fillId="44" borderId="10" xfId="0" applyFill="1" applyBorder="1" applyAlignment="1">
      <alignment horizontal="center" vertical="center"/>
    </xf>
    <xf numFmtId="0" fontId="20" fillId="44" borderId="10" xfId="0" applyFont="1" applyFill="1" applyBorder="1" applyAlignment="1">
      <alignment horizontal="center" vertical="center"/>
    </xf>
    <xf numFmtId="11" fontId="16" fillId="44" borderId="10" xfId="0" applyNumberFormat="1" applyFont="1" applyFill="1" applyBorder="1" applyAlignment="1">
      <alignment horizontal="center" vertical="center"/>
    </xf>
    <xf numFmtId="0" fontId="16" fillId="44" borderId="10" xfId="0" applyFont="1" applyFill="1" applyBorder="1" applyAlignment="1">
      <alignment horizontal="center" vertical="center"/>
    </xf>
    <xf numFmtId="11" fontId="28" fillId="38" borderId="10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16" fillId="0" borderId="0" xfId="0" applyFont="1" applyAlignment="1">
      <alignment horizontal="center"/>
    </xf>
    <xf numFmtId="0" fontId="22" fillId="34" borderId="10" xfId="0" applyFont="1" applyFill="1" applyBorder="1" applyAlignment="1">
      <alignment horizontal="center" vertical="center"/>
    </xf>
    <xf numFmtId="0" fontId="22" fillId="39" borderId="10" xfId="0" applyFont="1" applyFill="1" applyBorder="1" applyAlignment="1">
      <alignment horizontal="center" vertical="center"/>
    </xf>
    <xf numFmtId="0" fontId="22" fillId="33" borderId="10" xfId="0" applyFont="1" applyFill="1" applyBorder="1" applyAlignment="1">
      <alignment horizontal="center" vertical="center"/>
    </xf>
    <xf numFmtId="0" fontId="22" fillId="0" borderId="10" xfId="0" applyFont="1" applyFill="1" applyBorder="1" applyAlignment="1">
      <alignment horizontal="center" vertical="center"/>
    </xf>
    <xf numFmtId="0" fontId="26" fillId="42" borderId="10" xfId="0" applyFont="1" applyFill="1" applyBorder="1" applyAlignment="1">
      <alignment horizontal="center" vertical="center"/>
    </xf>
    <xf numFmtId="0" fontId="0" fillId="33" borderId="11" xfId="0" applyFill="1" applyBorder="1" applyAlignment="1">
      <alignment horizontal="center"/>
    </xf>
    <xf numFmtId="0" fontId="0" fillId="36" borderId="11" xfId="0" applyFill="1" applyBorder="1" applyAlignment="1">
      <alignment horizontal="center"/>
    </xf>
    <xf numFmtId="0" fontId="0" fillId="34" borderId="11" xfId="0" applyFill="1" applyBorder="1" applyAlignment="1">
      <alignment horizontal="center"/>
    </xf>
    <xf numFmtId="0" fontId="0" fillId="40" borderId="11" xfId="0" applyFill="1" applyBorder="1" applyAlignment="1">
      <alignment horizontal="center"/>
    </xf>
    <xf numFmtId="0" fontId="0" fillId="41" borderId="11" xfId="0" applyFill="1" applyBorder="1" applyAlignment="1">
      <alignment horizontal="center"/>
    </xf>
    <xf numFmtId="1" fontId="22" fillId="37" borderId="10" xfId="0" applyNumberFormat="1" applyFont="1" applyFill="1" applyBorder="1" applyAlignment="1">
      <alignment horizontal="center" vertical="center"/>
    </xf>
    <xf numFmtId="0" fontId="0" fillId="45" borderId="11" xfId="0" applyFill="1" applyBorder="1" applyAlignment="1">
      <alignment horizontal="center"/>
    </xf>
    <xf numFmtId="2" fontId="22" fillId="45" borderId="0" xfId="0" applyNumberFormat="1" applyFont="1" applyFill="1" applyBorder="1" applyAlignment="1">
      <alignment horizontal="center"/>
    </xf>
    <xf numFmtId="0" fontId="18" fillId="41" borderId="10" xfId="0" applyFont="1" applyFill="1" applyBorder="1" applyAlignment="1">
      <alignment horizontal="center" vertical="center"/>
    </xf>
    <xf numFmtId="0" fontId="16" fillId="35" borderId="10" xfId="0" applyFont="1" applyFill="1" applyBorder="1" applyAlignment="1">
      <alignment horizontal="center" vertical="center"/>
    </xf>
    <xf numFmtId="0" fontId="19" fillId="41" borderId="10" xfId="0" applyFont="1" applyFill="1" applyBorder="1" applyAlignment="1">
      <alignment horizontal="center" vertical="center"/>
    </xf>
    <xf numFmtId="11" fontId="0" fillId="41" borderId="10" xfId="0" applyNumberFormat="1" applyFill="1" applyBorder="1" applyAlignment="1">
      <alignment horizontal="center" vertical="center"/>
    </xf>
    <xf numFmtId="0" fontId="23" fillId="41" borderId="10" xfId="0" applyFont="1" applyFill="1" applyBorder="1" applyAlignment="1">
      <alignment horizontal="center" vertical="center"/>
    </xf>
    <xf numFmtId="0" fontId="0" fillId="41" borderId="10" xfId="0" applyFill="1" applyBorder="1" applyAlignment="1">
      <alignment horizontal="center" vertical="center"/>
    </xf>
    <xf numFmtId="0" fontId="20" fillId="41" borderId="10" xfId="0" applyFont="1" applyFill="1" applyBorder="1" applyAlignment="1">
      <alignment horizontal="center" vertical="center"/>
    </xf>
    <xf numFmtId="1" fontId="18" fillId="41" borderId="10" xfId="0" applyNumberFormat="1" applyFont="1" applyFill="1" applyBorder="1" applyAlignment="1">
      <alignment horizontal="center" vertical="center"/>
    </xf>
    <xf numFmtId="0" fontId="0" fillId="44" borderId="11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16" fillId="37" borderId="10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0" xfId="0" applyFont="1"/>
    <xf numFmtId="0" fontId="18" fillId="35" borderId="0" xfId="0" applyFont="1" applyFill="1" applyBorder="1" applyAlignment="1">
      <alignment horizontal="center" vertical="center"/>
    </xf>
    <xf numFmtId="0" fontId="19" fillId="33" borderId="0" xfId="0" applyFont="1" applyFill="1" applyBorder="1" applyAlignment="1">
      <alignment horizontal="center" vertical="center"/>
    </xf>
    <xf numFmtId="0" fontId="16" fillId="35" borderId="10" xfId="0" applyFont="1" applyFill="1" applyBorder="1" applyAlignment="1">
      <alignment horizontal="center" vertical="center"/>
    </xf>
    <xf numFmtId="0" fontId="0" fillId="34" borderId="10" xfId="0" applyFill="1" applyBorder="1" applyAlignment="1">
      <alignment horizontal="center"/>
    </xf>
    <xf numFmtId="0" fontId="0" fillId="40" borderId="10" xfId="0" applyFill="1" applyBorder="1" applyAlignment="1">
      <alignment horizontal="center"/>
    </xf>
    <xf numFmtId="0" fontId="0" fillId="36" borderId="10" xfId="0" applyFill="1" applyBorder="1" applyAlignment="1">
      <alignment horizontal="center"/>
    </xf>
    <xf numFmtId="0" fontId="0" fillId="45" borderId="10" xfId="0" applyFill="1" applyBorder="1" applyAlignment="1">
      <alignment horizontal="center"/>
    </xf>
    <xf numFmtId="0" fontId="0" fillId="41" borderId="10" xfId="0" applyFill="1" applyBorder="1" applyAlignment="1">
      <alignment horizontal="center"/>
    </xf>
    <xf numFmtId="0" fontId="0" fillId="33" borderId="10" xfId="0" applyFill="1" applyBorder="1" applyAlignment="1">
      <alignment horizontal="center"/>
    </xf>
    <xf numFmtId="0" fontId="0" fillId="44" borderId="10" xfId="0" applyFill="1" applyBorder="1" applyAlignment="1">
      <alignment horizontal="center"/>
    </xf>
    <xf numFmtId="0" fontId="0" fillId="8" borderId="8" xfId="15" applyFont="1" applyBorder="1"/>
    <xf numFmtId="0" fontId="0" fillId="8" borderId="19" xfId="15" applyFont="1" applyBorder="1"/>
    <xf numFmtId="0" fontId="0" fillId="8" borderId="20" xfId="15" applyFont="1" applyBorder="1"/>
    <xf numFmtId="0" fontId="0" fillId="8" borderId="21" xfId="15" applyFont="1" applyBorder="1"/>
    <xf numFmtId="0" fontId="0" fillId="8" borderId="22" xfId="15" applyFont="1" applyBorder="1"/>
    <xf numFmtId="0" fontId="0" fillId="8" borderId="23" xfId="15" applyFont="1" applyBorder="1"/>
    <xf numFmtId="0" fontId="0" fillId="8" borderId="24" xfId="15" applyFont="1" applyBorder="1"/>
    <xf numFmtId="0" fontId="0" fillId="8" borderId="25" xfId="15" applyFont="1" applyBorder="1"/>
    <xf numFmtId="0" fontId="0" fillId="8" borderId="26" xfId="15" applyFont="1" applyBorder="1"/>
    <xf numFmtId="0" fontId="0" fillId="44" borderId="0" xfId="0" applyFill="1"/>
    <xf numFmtId="0" fontId="14" fillId="45" borderId="11" xfId="0" applyFont="1" applyFill="1" applyBorder="1" applyAlignment="1">
      <alignment horizontal="center"/>
    </xf>
    <xf numFmtId="0" fontId="14" fillId="0" borderId="0" xfId="0" applyFont="1"/>
    <xf numFmtId="0" fontId="22" fillId="42" borderId="10" xfId="0" applyFont="1" applyFill="1" applyBorder="1" applyAlignment="1">
      <alignment horizontal="center" vertical="center"/>
    </xf>
    <xf numFmtId="0" fontId="0" fillId="0" borderId="0" xfId="0"/>
    <xf numFmtId="0" fontId="16" fillId="0" borderId="0" xfId="0" applyFont="1"/>
    <xf numFmtId="0" fontId="19" fillId="44" borderId="10" xfId="0" applyFont="1" applyFill="1" applyBorder="1" applyAlignment="1">
      <alignment horizontal="center" vertical="center"/>
    </xf>
    <xf numFmtId="0" fontId="0" fillId="33" borderId="11" xfId="0" applyFill="1" applyBorder="1" applyAlignment="1">
      <alignment horizontal="center"/>
    </xf>
    <xf numFmtId="0" fontId="0" fillId="36" borderId="11" xfId="0" applyFill="1" applyBorder="1" applyAlignment="1">
      <alignment horizontal="center"/>
    </xf>
    <xf numFmtId="0" fontId="0" fillId="40" borderId="11" xfId="0" applyFill="1" applyBorder="1" applyAlignment="1">
      <alignment horizontal="center"/>
    </xf>
    <xf numFmtId="0" fontId="0" fillId="44" borderId="11" xfId="0" applyFill="1" applyBorder="1" applyAlignment="1">
      <alignment horizontal="center"/>
    </xf>
    <xf numFmtId="0" fontId="28" fillId="0" borderId="0" xfId="0" applyFont="1"/>
    <xf numFmtId="0" fontId="14" fillId="42" borderId="11" xfId="0" applyFont="1" applyFill="1" applyBorder="1" applyAlignment="1">
      <alignment horizontal="center"/>
    </xf>
    <xf numFmtId="0" fontId="11" fillId="6" borderId="4" xfId="11"/>
    <xf numFmtId="0" fontId="11" fillId="6" borderId="0" xfId="11" applyBorder="1"/>
    <xf numFmtId="0" fontId="16" fillId="35" borderId="10" xfId="0" applyFont="1" applyFill="1" applyBorder="1" applyAlignment="1">
      <alignment horizontal="center" vertical="center"/>
    </xf>
    <xf numFmtId="0" fontId="29" fillId="35" borderId="10" xfId="0" applyFont="1" applyFill="1" applyBorder="1" applyAlignment="1">
      <alignment horizontal="center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210"/>
  <sheetViews>
    <sheetView topLeftCell="A131" zoomScale="70" zoomScaleNormal="70" workbookViewId="0">
      <selection activeCell="Q2" sqref="Q2:R209"/>
    </sheetView>
  </sheetViews>
  <sheetFormatPr defaultRowHeight="15" x14ac:dyDescent="0.25"/>
  <cols>
    <col min="1" max="1" width="9.140625" style="2"/>
    <col min="2" max="2" width="16.42578125" style="2" customWidth="1"/>
    <col min="3" max="9" width="9.140625" style="2"/>
    <col min="10" max="10" width="9.140625" style="95"/>
    <col min="11" max="13" width="9.140625" style="2"/>
    <col min="14" max="14" width="49" style="2" customWidth="1"/>
    <col min="15" max="15" width="9.140625" style="2"/>
    <col min="16" max="16" width="8.42578125" style="2" customWidth="1"/>
    <col min="17" max="17" width="13.5703125" style="56" customWidth="1"/>
    <col min="18" max="18" width="12.85546875" style="56" customWidth="1"/>
    <col min="19" max="20" width="30" style="125" customWidth="1"/>
    <col min="21" max="21" width="20" style="127" customWidth="1"/>
    <col min="22" max="23" width="14.42578125" style="126" customWidth="1"/>
    <col min="24" max="24" width="24" style="126" customWidth="1"/>
    <col min="26" max="27" width="16.140625" style="2" customWidth="1"/>
    <col min="29" max="30" width="14.28515625" style="29" customWidth="1"/>
    <col min="32" max="32" width="9.140625" style="153"/>
    <col min="33" max="33" width="10.7109375" style="153" customWidth="1"/>
  </cols>
  <sheetData>
    <row r="1" spans="1:33" ht="48.75" customHeight="1" x14ac:dyDescent="0.25">
      <c r="A1" s="11" t="s">
        <v>0</v>
      </c>
      <c r="B1" s="11" t="s">
        <v>21</v>
      </c>
      <c r="C1" s="11" t="s">
        <v>22</v>
      </c>
      <c r="D1" s="11" t="s">
        <v>23</v>
      </c>
      <c r="E1" s="11" t="s">
        <v>24</v>
      </c>
      <c r="F1" s="11" t="s">
        <v>25</v>
      </c>
      <c r="G1" s="11" t="s">
        <v>26</v>
      </c>
      <c r="H1" s="11" t="s">
        <v>27</v>
      </c>
      <c r="I1" s="11" t="s">
        <v>28</v>
      </c>
      <c r="J1" s="11" t="s">
        <v>29</v>
      </c>
      <c r="K1" s="11" t="s">
        <v>30</v>
      </c>
      <c r="L1" s="11" t="s">
        <v>31</v>
      </c>
      <c r="M1" s="11" t="s">
        <v>32</v>
      </c>
      <c r="N1" s="25" t="s">
        <v>45</v>
      </c>
      <c r="O1" s="188" t="s">
        <v>242</v>
      </c>
      <c r="P1" s="188"/>
      <c r="Q1" s="55" t="s">
        <v>296</v>
      </c>
      <c r="R1" s="55" t="s">
        <v>295</v>
      </c>
      <c r="S1" s="55" t="s">
        <v>971</v>
      </c>
      <c r="T1" s="55" t="s">
        <v>21</v>
      </c>
      <c r="U1" s="111" t="s">
        <v>969</v>
      </c>
      <c r="V1" s="116" t="s">
        <v>965</v>
      </c>
      <c r="W1" s="116" t="s">
        <v>966</v>
      </c>
      <c r="X1" s="116" t="s">
        <v>926</v>
      </c>
      <c r="Z1" s="141" t="s">
        <v>972</v>
      </c>
      <c r="AA1" s="141" t="s">
        <v>973</v>
      </c>
      <c r="AC1" s="23" t="s">
        <v>976</v>
      </c>
      <c r="AD1" s="23" t="s">
        <v>975</v>
      </c>
      <c r="AF1" s="189" t="s">
        <v>977</v>
      </c>
      <c r="AG1" s="189"/>
    </row>
    <row r="2" spans="1:33" x14ac:dyDescent="0.25">
      <c r="A2" s="3">
        <v>1</v>
      </c>
      <c r="B2" s="4">
        <v>3</v>
      </c>
      <c r="C2" s="4">
        <v>712.13610000000006</v>
      </c>
      <c r="D2" s="4">
        <v>234.06780000000001</v>
      </c>
      <c r="E2" s="4">
        <v>0</v>
      </c>
      <c r="F2" s="4">
        <v>0</v>
      </c>
      <c r="G2" s="4">
        <v>1</v>
      </c>
      <c r="H2" s="4">
        <v>1</v>
      </c>
      <c r="I2" s="4">
        <v>0</v>
      </c>
      <c r="J2" s="130">
        <v>230</v>
      </c>
      <c r="K2" s="4">
        <v>1</v>
      </c>
      <c r="L2" s="4">
        <v>1.05</v>
      </c>
      <c r="M2" s="4">
        <v>0.95</v>
      </c>
      <c r="N2" s="4" t="s">
        <v>47</v>
      </c>
      <c r="O2" s="9">
        <v>212.95354370000001</v>
      </c>
      <c r="P2" s="54">
        <v>55.250692370000003</v>
      </c>
      <c r="Q2" s="12">
        <v>103.71158333333334</v>
      </c>
      <c r="R2" s="12">
        <v>1.2962666666666667</v>
      </c>
      <c r="S2" s="135"/>
      <c r="T2" s="135">
        <v>-1</v>
      </c>
      <c r="U2" s="151"/>
      <c r="V2" s="93">
        <f>U2*X2</f>
        <v>0</v>
      </c>
      <c r="W2" s="93">
        <f>IF(X2&gt;0,SQRT((V2/X2)^2-V2^2), 0)</f>
        <v>0</v>
      </c>
      <c r="X2" s="93">
        <f t="shared" ref="X2:X24" si="0">IF(C2&gt;0, C2/SQRT(C2*C2+D2*D2), 0)</f>
        <v>0.9500000066457247</v>
      </c>
      <c r="Z2" s="4">
        <v>0</v>
      </c>
      <c r="AA2" s="4">
        <v>0</v>
      </c>
      <c r="AC2" s="151"/>
      <c r="AD2" s="8">
        <f>AC2*0.98</f>
        <v>0</v>
      </c>
      <c r="AF2" s="152">
        <v>712.13610000000006</v>
      </c>
      <c r="AG2" s="152">
        <v>234.06780000000001</v>
      </c>
    </row>
    <row r="3" spans="1:33" x14ac:dyDescent="0.25">
      <c r="A3" s="72">
        <f>A2+1</f>
        <v>2</v>
      </c>
      <c r="B3" s="73">
        <v>1</v>
      </c>
      <c r="C3" s="73">
        <v>0</v>
      </c>
      <c r="D3" s="73">
        <v>0</v>
      </c>
      <c r="E3" s="73">
        <v>0</v>
      </c>
      <c r="F3" s="73">
        <v>0</v>
      </c>
      <c r="G3" s="73">
        <v>1</v>
      </c>
      <c r="H3" s="73">
        <v>1</v>
      </c>
      <c r="I3" s="73">
        <v>0</v>
      </c>
      <c r="J3" s="115">
        <v>230</v>
      </c>
      <c r="K3" s="73">
        <v>1</v>
      </c>
      <c r="L3" s="73">
        <v>1.05</v>
      </c>
      <c r="M3" s="73">
        <v>0.95</v>
      </c>
      <c r="N3" s="73" t="s">
        <v>917</v>
      </c>
      <c r="O3" s="74">
        <v>150</v>
      </c>
      <c r="P3" s="75">
        <v>50</v>
      </c>
      <c r="Q3" s="12">
        <v>103.67403333333333</v>
      </c>
      <c r="R3" s="12">
        <v>1.2820333333333334</v>
      </c>
      <c r="S3" s="135"/>
      <c r="T3" s="135">
        <v>-1</v>
      </c>
      <c r="U3" s="151"/>
      <c r="V3" s="93">
        <f t="shared" ref="V3:V57" si="1">U3*X3</f>
        <v>0</v>
      </c>
      <c r="W3" s="93">
        <f t="shared" ref="W3:W57" si="2">IF(X3&gt;0,SQRT((V3/X3)^2-V3^2), 0)</f>
        <v>0</v>
      </c>
      <c r="X3" s="93">
        <f t="shared" si="0"/>
        <v>0</v>
      </c>
      <c r="Z3" s="73">
        <v>0</v>
      </c>
      <c r="AA3" s="73">
        <v>0</v>
      </c>
      <c r="AC3" s="151"/>
      <c r="AD3" s="8">
        <f t="shared" ref="AD3:AD66" si="3">AC3*0.98</f>
        <v>0</v>
      </c>
      <c r="AF3" s="152">
        <v>0</v>
      </c>
      <c r="AG3" s="152">
        <v>0</v>
      </c>
    </row>
    <row r="4" spans="1:33" x14ac:dyDescent="0.25">
      <c r="A4" s="80">
        <f t="shared" ref="A4:A67" si="4">A3+1</f>
        <v>3</v>
      </c>
      <c r="B4" s="5">
        <v>1</v>
      </c>
      <c r="C4" s="5">
        <v>0</v>
      </c>
      <c r="D4" s="5">
        <v>0</v>
      </c>
      <c r="E4" s="5">
        <v>0</v>
      </c>
      <c r="F4" s="5">
        <v>0</v>
      </c>
      <c r="G4" s="5">
        <v>1</v>
      </c>
      <c r="H4" s="5">
        <v>1</v>
      </c>
      <c r="I4" s="5">
        <v>0</v>
      </c>
      <c r="J4" s="128">
        <v>230</v>
      </c>
      <c r="K4" s="5">
        <v>1</v>
      </c>
      <c r="L4" s="5">
        <v>1.05</v>
      </c>
      <c r="M4" s="5">
        <v>0.95</v>
      </c>
      <c r="N4" s="5" t="s">
        <v>921</v>
      </c>
      <c r="O4" s="81">
        <v>150</v>
      </c>
      <c r="P4" s="82">
        <v>100</v>
      </c>
      <c r="Q4" s="12">
        <v>103.7252</v>
      </c>
      <c r="R4" s="12">
        <v>1.2841</v>
      </c>
      <c r="S4" s="135"/>
      <c r="T4" s="135">
        <v>-1</v>
      </c>
      <c r="U4" s="151"/>
      <c r="V4" s="93">
        <f t="shared" si="1"/>
        <v>0</v>
      </c>
      <c r="W4" s="93">
        <f t="shared" si="2"/>
        <v>0</v>
      </c>
      <c r="X4" s="93">
        <f t="shared" si="0"/>
        <v>0</v>
      </c>
      <c r="Z4" s="5">
        <v>0</v>
      </c>
      <c r="AA4" s="5">
        <v>0</v>
      </c>
      <c r="AC4" s="151"/>
      <c r="AD4" s="8">
        <f t="shared" si="3"/>
        <v>0</v>
      </c>
      <c r="AF4" s="152">
        <v>0</v>
      </c>
      <c r="AG4" s="152">
        <v>0</v>
      </c>
    </row>
    <row r="5" spans="1:33" x14ac:dyDescent="0.25">
      <c r="A5" s="76">
        <f t="shared" si="4"/>
        <v>4</v>
      </c>
      <c r="B5" s="77">
        <v>1</v>
      </c>
      <c r="C5" s="77">
        <v>0</v>
      </c>
      <c r="D5" s="77">
        <v>0</v>
      </c>
      <c r="E5" s="77">
        <v>0</v>
      </c>
      <c r="F5" s="77">
        <v>0</v>
      </c>
      <c r="G5" s="77">
        <v>1</v>
      </c>
      <c r="H5" s="77">
        <v>1</v>
      </c>
      <c r="I5" s="77">
        <v>0</v>
      </c>
      <c r="J5" s="129">
        <v>230</v>
      </c>
      <c r="K5" s="77">
        <v>1</v>
      </c>
      <c r="L5" s="77">
        <v>1.05</v>
      </c>
      <c r="M5" s="77">
        <v>0.95</v>
      </c>
      <c r="N5" s="77" t="s">
        <v>923</v>
      </c>
      <c r="O5" s="78">
        <v>100</v>
      </c>
      <c r="P5" s="79">
        <v>50</v>
      </c>
      <c r="Q5" s="12">
        <v>103.7028</v>
      </c>
      <c r="R5" s="12">
        <v>1.2541500000000001</v>
      </c>
      <c r="S5" s="135"/>
      <c r="T5" s="135">
        <v>-1</v>
      </c>
      <c r="U5" s="151"/>
      <c r="V5" s="93">
        <f t="shared" si="1"/>
        <v>0</v>
      </c>
      <c r="W5" s="93">
        <f t="shared" si="2"/>
        <v>0</v>
      </c>
      <c r="X5" s="93">
        <f t="shared" si="0"/>
        <v>0</v>
      </c>
      <c r="Z5" s="77">
        <v>0</v>
      </c>
      <c r="AA5" s="77">
        <v>0</v>
      </c>
      <c r="AC5" s="151"/>
      <c r="AD5" s="8">
        <f t="shared" si="3"/>
        <v>0</v>
      </c>
      <c r="AF5" s="152">
        <v>0</v>
      </c>
      <c r="AG5" s="152">
        <v>0</v>
      </c>
    </row>
    <row r="6" spans="1:33" x14ac:dyDescent="0.25">
      <c r="A6" s="70">
        <f t="shared" si="4"/>
        <v>5</v>
      </c>
      <c r="B6" s="14">
        <v>1</v>
      </c>
      <c r="C6" s="14">
        <v>0</v>
      </c>
      <c r="D6" s="14">
        <v>0</v>
      </c>
      <c r="E6" s="14">
        <v>0</v>
      </c>
      <c r="F6" s="14">
        <v>0</v>
      </c>
      <c r="G6" s="14">
        <v>1</v>
      </c>
      <c r="H6" s="14">
        <v>1</v>
      </c>
      <c r="I6" s="14">
        <v>0</v>
      </c>
      <c r="J6" s="50">
        <v>230</v>
      </c>
      <c r="K6" s="14">
        <v>1</v>
      </c>
      <c r="L6" s="14">
        <v>1.05</v>
      </c>
      <c r="M6" s="14">
        <v>0.95</v>
      </c>
      <c r="N6" s="14" t="s">
        <v>46</v>
      </c>
      <c r="O6" s="63">
        <v>100</v>
      </c>
      <c r="P6" s="71">
        <v>50</v>
      </c>
      <c r="Q6" s="12">
        <v>103.72716666666666</v>
      </c>
      <c r="R6" s="12">
        <v>1.2794833333333333</v>
      </c>
      <c r="S6" s="135"/>
      <c r="T6" s="135">
        <v>-1</v>
      </c>
      <c r="U6" s="151"/>
      <c r="V6" s="93">
        <f t="shared" si="1"/>
        <v>0</v>
      </c>
      <c r="W6" s="93">
        <f t="shared" si="2"/>
        <v>0</v>
      </c>
      <c r="X6" s="93">
        <f t="shared" si="0"/>
        <v>0</v>
      </c>
      <c r="Z6" s="14">
        <v>0</v>
      </c>
      <c r="AA6" s="14">
        <v>0</v>
      </c>
      <c r="AC6" s="151"/>
      <c r="AD6" s="8">
        <f t="shared" si="3"/>
        <v>0</v>
      </c>
      <c r="AF6" s="152">
        <v>0</v>
      </c>
      <c r="AG6" s="152">
        <v>0</v>
      </c>
    </row>
    <row r="7" spans="1:33" x14ac:dyDescent="0.25">
      <c r="A7" s="99">
        <f t="shared" si="4"/>
        <v>6</v>
      </c>
      <c r="B7" s="7">
        <v>1</v>
      </c>
      <c r="C7" s="7">
        <v>0</v>
      </c>
      <c r="D7" s="7">
        <v>0</v>
      </c>
      <c r="E7" s="7">
        <v>0</v>
      </c>
      <c r="F7" s="7">
        <v>0</v>
      </c>
      <c r="G7" s="7">
        <v>1</v>
      </c>
      <c r="H7" s="7">
        <v>1</v>
      </c>
      <c r="I7" s="7">
        <v>0</v>
      </c>
      <c r="J7" s="131">
        <v>230</v>
      </c>
      <c r="K7" s="7">
        <v>1</v>
      </c>
      <c r="L7" s="7">
        <v>1.05</v>
      </c>
      <c r="M7" s="100">
        <v>0.95</v>
      </c>
      <c r="N7" s="5" t="s">
        <v>48</v>
      </c>
      <c r="O7" s="83"/>
      <c r="P7" s="84"/>
      <c r="Q7" s="12">
        <v>103.71896666666666</v>
      </c>
      <c r="R7" s="12">
        <v>1.2803333333333333</v>
      </c>
      <c r="S7" s="135"/>
      <c r="T7" s="135">
        <v>-1</v>
      </c>
      <c r="U7" s="151"/>
      <c r="V7" s="93">
        <f t="shared" si="1"/>
        <v>0</v>
      </c>
      <c r="W7" s="93">
        <f t="shared" si="2"/>
        <v>0</v>
      </c>
      <c r="X7" s="93">
        <f t="shared" si="0"/>
        <v>0</v>
      </c>
      <c r="Z7" s="7">
        <v>0</v>
      </c>
      <c r="AA7" s="7">
        <v>0</v>
      </c>
      <c r="AC7" s="151"/>
      <c r="AD7" s="8">
        <f t="shared" si="3"/>
        <v>0</v>
      </c>
      <c r="AF7" s="152">
        <v>0</v>
      </c>
      <c r="AG7" s="152">
        <v>0</v>
      </c>
    </row>
    <row r="8" spans="1:33" x14ac:dyDescent="0.25">
      <c r="A8" s="99">
        <f t="shared" si="4"/>
        <v>7</v>
      </c>
      <c r="B8" s="7">
        <v>1</v>
      </c>
      <c r="C8" s="7">
        <v>0</v>
      </c>
      <c r="D8" s="7">
        <v>0</v>
      </c>
      <c r="E8" s="7">
        <v>0</v>
      </c>
      <c r="F8" s="7">
        <v>0</v>
      </c>
      <c r="G8" s="7">
        <v>1</v>
      </c>
      <c r="H8" s="7">
        <v>1</v>
      </c>
      <c r="I8" s="7">
        <v>0</v>
      </c>
      <c r="J8" s="131">
        <v>230</v>
      </c>
      <c r="K8" s="7">
        <v>1</v>
      </c>
      <c r="L8" s="7">
        <v>1.05</v>
      </c>
      <c r="M8" s="100">
        <v>0.95</v>
      </c>
      <c r="N8" s="5" t="s">
        <v>49</v>
      </c>
      <c r="O8" s="85"/>
      <c r="P8" s="86"/>
      <c r="Q8" s="12">
        <v>103.70396666666667</v>
      </c>
      <c r="R8" s="12">
        <v>1.268</v>
      </c>
      <c r="S8" s="135"/>
      <c r="T8" s="135">
        <v>-1</v>
      </c>
      <c r="U8" s="151"/>
      <c r="V8" s="93">
        <f t="shared" si="1"/>
        <v>0</v>
      </c>
      <c r="W8" s="93">
        <f t="shared" si="2"/>
        <v>0</v>
      </c>
      <c r="X8" s="93">
        <f t="shared" si="0"/>
        <v>0</v>
      </c>
      <c r="Z8" s="7">
        <v>0</v>
      </c>
      <c r="AA8" s="7">
        <v>0</v>
      </c>
      <c r="AC8" s="151"/>
      <c r="AD8" s="8">
        <f t="shared" si="3"/>
        <v>0</v>
      </c>
      <c r="AF8" s="152">
        <v>0</v>
      </c>
      <c r="AG8" s="152">
        <v>0</v>
      </c>
    </row>
    <row r="9" spans="1:33" x14ac:dyDescent="0.25">
      <c r="A9" s="99">
        <f t="shared" si="4"/>
        <v>8</v>
      </c>
      <c r="B9" s="7">
        <v>1</v>
      </c>
      <c r="C9" s="7">
        <v>0</v>
      </c>
      <c r="D9" s="7">
        <v>0</v>
      </c>
      <c r="E9" s="7">
        <v>0</v>
      </c>
      <c r="F9" s="7">
        <v>0</v>
      </c>
      <c r="G9" s="7">
        <v>1</v>
      </c>
      <c r="H9" s="7">
        <v>1</v>
      </c>
      <c r="I9" s="7">
        <v>0</v>
      </c>
      <c r="J9" s="131">
        <v>230</v>
      </c>
      <c r="K9" s="7">
        <v>1</v>
      </c>
      <c r="L9" s="7">
        <v>1.05</v>
      </c>
      <c r="M9" s="100">
        <v>0.95</v>
      </c>
      <c r="N9" s="5" t="s">
        <v>50</v>
      </c>
      <c r="O9" s="85"/>
      <c r="P9" s="86"/>
      <c r="Q9" s="12">
        <v>103.68503333333334</v>
      </c>
      <c r="R9" s="12">
        <v>1.2709166666666667</v>
      </c>
      <c r="S9" s="135"/>
      <c r="T9" s="135">
        <v>-1</v>
      </c>
      <c r="U9" s="151"/>
      <c r="V9" s="93">
        <f t="shared" si="1"/>
        <v>0</v>
      </c>
      <c r="W9" s="93">
        <f t="shared" si="2"/>
        <v>0</v>
      </c>
      <c r="X9" s="93">
        <f t="shared" si="0"/>
        <v>0</v>
      </c>
      <c r="Z9" s="7">
        <v>0</v>
      </c>
      <c r="AA9" s="7">
        <v>0</v>
      </c>
      <c r="AC9" s="151"/>
      <c r="AD9" s="8">
        <f t="shared" si="3"/>
        <v>0</v>
      </c>
      <c r="AF9" s="152">
        <v>0</v>
      </c>
      <c r="AG9" s="152">
        <v>0</v>
      </c>
    </row>
    <row r="10" spans="1:33" x14ac:dyDescent="0.25">
      <c r="A10" s="99">
        <f t="shared" si="4"/>
        <v>9</v>
      </c>
      <c r="B10" s="8">
        <v>1</v>
      </c>
      <c r="C10" s="8">
        <v>0</v>
      </c>
      <c r="D10" s="8">
        <v>0</v>
      </c>
      <c r="E10" s="8">
        <v>0</v>
      </c>
      <c r="F10" s="8">
        <v>0</v>
      </c>
      <c r="G10" s="8">
        <v>1</v>
      </c>
      <c r="H10" s="8">
        <v>1</v>
      </c>
      <c r="I10" s="8">
        <v>0</v>
      </c>
      <c r="J10" s="104">
        <v>66</v>
      </c>
      <c r="K10" s="8">
        <v>1</v>
      </c>
      <c r="L10" s="7">
        <v>1.05</v>
      </c>
      <c r="M10" s="100">
        <v>0.95</v>
      </c>
      <c r="N10" s="5" t="s">
        <v>51</v>
      </c>
      <c r="O10" s="57"/>
      <c r="P10" s="58"/>
      <c r="Q10" s="12">
        <v>103.71896666666666</v>
      </c>
      <c r="R10" s="12">
        <v>1.2803333333333333</v>
      </c>
      <c r="S10" s="135"/>
      <c r="T10" s="135">
        <v>-1</v>
      </c>
      <c r="U10" s="151"/>
      <c r="V10" s="93">
        <f t="shared" si="1"/>
        <v>0</v>
      </c>
      <c r="W10" s="93">
        <f t="shared" si="2"/>
        <v>0</v>
      </c>
      <c r="X10" s="93">
        <f t="shared" si="0"/>
        <v>0</v>
      </c>
      <c r="Z10" s="8">
        <v>0</v>
      </c>
      <c r="AA10" s="8">
        <v>0</v>
      </c>
      <c r="AC10" s="151"/>
      <c r="AD10" s="8">
        <f t="shared" si="3"/>
        <v>0</v>
      </c>
      <c r="AF10" s="152">
        <v>0</v>
      </c>
      <c r="AG10" s="152">
        <v>0</v>
      </c>
    </row>
    <row r="11" spans="1:33" x14ac:dyDescent="0.25">
      <c r="A11" s="99">
        <f t="shared" si="4"/>
        <v>10</v>
      </c>
      <c r="B11" s="8">
        <v>1</v>
      </c>
      <c r="C11" s="8">
        <v>0</v>
      </c>
      <c r="D11" s="8">
        <v>0</v>
      </c>
      <c r="E11" s="8">
        <v>0</v>
      </c>
      <c r="F11" s="8">
        <v>0</v>
      </c>
      <c r="G11" s="8">
        <v>1</v>
      </c>
      <c r="H11" s="8">
        <v>1</v>
      </c>
      <c r="I11" s="8">
        <v>0</v>
      </c>
      <c r="J11" s="104">
        <v>66</v>
      </c>
      <c r="K11" s="8">
        <v>1</v>
      </c>
      <c r="L11" s="7">
        <v>1.05</v>
      </c>
      <c r="M11" s="100">
        <v>0.95</v>
      </c>
      <c r="N11" s="5" t="s">
        <v>52</v>
      </c>
      <c r="O11" s="57"/>
      <c r="P11" s="58"/>
      <c r="Q11" s="12">
        <v>103.70396666666667</v>
      </c>
      <c r="R11" s="12">
        <v>1.268</v>
      </c>
      <c r="S11" s="135"/>
      <c r="T11" s="135">
        <v>-1</v>
      </c>
      <c r="U11" s="151"/>
      <c r="V11" s="93">
        <f t="shared" si="1"/>
        <v>0</v>
      </c>
      <c r="W11" s="93">
        <f t="shared" si="2"/>
        <v>0</v>
      </c>
      <c r="X11" s="93">
        <f t="shared" si="0"/>
        <v>0</v>
      </c>
      <c r="Z11" s="8">
        <v>0</v>
      </c>
      <c r="AA11" s="8">
        <v>0</v>
      </c>
      <c r="AC11" s="151"/>
      <c r="AD11" s="8">
        <f t="shared" si="3"/>
        <v>0</v>
      </c>
      <c r="AF11" s="152">
        <v>0</v>
      </c>
      <c r="AG11" s="152">
        <v>0</v>
      </c>
    </row>
    <row r="12" spans="1:33" x14ac:dyDescent="0.25">
      <c r="A12" s="99">
        <f t="shared" si="4"/>
        <v>11</v>
      </c>
      <c r="B12" s="8">
        <v>1</v>
      </c>
      <c r="C12" s="8">
        <v>0</v>
      </c>
      <c r="D12" s="8">
        <v>0</v>
      </c>
      <c r="E12" s="8">
        <v>0</v>
      </c>
      <c r="F12" s="8">
        <v>0</v>
      </c>
      <c r="G12" s="8">
        <v>1</v>
      </c>
      <c r="H12" s="8">
        <v>1</v>
      </c>
      <c r="I12" s="8">
        <v>0</v>
      </c>
      <c r="J12" s="104">
        <v>66</v>
      </c>
      <c r="K12" s="8">
        <v>1</v>
      </c>
      <c r="L12" s="7">
        <v>1.05</v>
      </c>
      <c r="M12" s="100">
        <v>0.95</v>
      </c>
      <c r="N12" s="5" t="s">
        <v>58</v>
      </c>
      <c r="O12" s="57"/>
      <c r="P12" s="58"/>
      <c r="Q12" s="12">
        <v>103.68503333333334</v>
      </c>
      <c r="R12" s="12">
        <v>1.2709166666666667</v>
      </c>
      <c r="S12" s="135"/>
      <c r="T12" s="135">
        <v>-1</v>
      </c>
      <c r="U12" s="151"/>
      <c r="V12" s="93">
        <f t="shared" si="1"/>
        <v>0</v>
      </c>
      <c r="W12" s="93">
        <f t="shared" si="2"/>
        <v>0</v>
      </c>
      <c r="X12" s="93">
        <f t="shared" si="0"/>
        <v>0</v>
      </c>
      <c r="Z12" s="8">
        <v>0</v>
      </c>
      <c r="AA12" s="8">
        <v>0</v>
      </c>
      <c r="AC12" s="151"/>
      <c r="AD12" s="8">
        <f t="shared" si="3"/>
        <v>0</v>
      </c>
      <c r="AF12" s="152">
        <v>0</v>
      </c>
      <c r="AG12" s="152">
        <v>0</v>
      </c>
    </row>
    <row r="13" spans="1:33" x14ac:dyDescent="0.25">
      <c r="A13" s="99">
        <f t="shared" si="4"/>
        <v>12</v>
      </c>
      <c r="B13" s="8">
        <v>1</v>
      </c>
      <c r="C13" s="8">
        <v>0</v>
      </c>
      <c r="D13" s="8">
        <v>0</v>
      </c>
      <c r="E13" s="8">
        <v>0</v>
      </c>
      <c r="F13" s="8">
        <v>0</v>
      </c>
      <c r="G13" s="8">
        <v>1</v>
      </c>
      <c r="H13" s="8">
        <v>1</v>
      </c>
      <c r="I13" s="8">
        <v>0</v>
      </c>
      <c r="J13" s="104">
        <v>66</v>
      </c>
      <c r="K13" s="8">
        <v>1</v>
      </c>
      <c r="L13" s="7">
        <v>1.05</v>
      </c>
      <c r="M13" s="100">
        <v>0.95</v>
      </c>
      <c r="N13" s="5" t="s">
        <v>55</v>
      </c>
      <c r="O13" s="57"/>
      <c r="P13" s="58"/>
      <c r="Q13" s="12">
        <v>103.72075</v>
      </c>
      <c r="R13" s="12">
        <v>1.2856166666666666</v>
      </c>
      <c r="S13" s="135"/>
      <c r="T13" s="135">
        <v>-1</v>
      </c>
      <c r="U13" s="151"/>
      <c r="V13" s="93">
        <f t="shared" si="1"/>
        <v>0</v>
      </c>
      <c r="W13" s="93">
        <f t="shared" si="2"/>
        <v>0</v>
      </c>
      <c r="X13" s="93">
        <f t="shared" si="0"/>
        <v>0</v>
      </c>
      <c r="Z13" s="8">
        <v>0</v>
      </c>
      <c r="AA13" s="8">
        <v>0</v>
      </c>
      <c r="AC13" s="151"/>
      <c r="AD13" s="8">
        <f t="shared" si="3"/>
        <v>0</v>
      </c>
      <c r="AF13" s="152">
        <v>0</v>
      </c>
      <c r="AG13" s="152">
        <v>0</v>
      </c>
    </row>
    <row r="14" spans="1:33" x14ac:dyDescent="0.25">
      <c r="A14" s="99">
        <f t="shared" si="4"/>
        <v>13</v>
      </c>
      <c r="B14" s="8">
        <v>1</v>
      </c>
      <c r="C14" s="8">
        <v>0</v>
      </c>
      <c r="D14" s="8">
        <v>0</v>
      </c>
      <c r="E14" s="8">
        <v>0</v>
      </c>
      <c r="F14" s="8">
        <v>0</v>
      </c>
      <c r="G14" s="8">
        <v>1</v>
      </c>
      <c r="H14" s="8">
        <v>1</v>
      </c>
      <c r="I14" s="8">
        <v>0</v>
      </c>
      <c r="J14" s="104">
        <v>66</v>
      </c>
      <c r="K14" s="8">
        <v>1</v>
      </c>
      <c r="L14" s="7">
        <v>1.05</v>
      </c>
      <c r="M14" s="100">
        <v>0.95</v>
      </c>
      <c r="N14" s="5" t="s">
        <v>57</v>
      </c>
      <c r="O14" s="57"/>
      <c r="P14" s="58"/>
      <c r="Q14" s="12">
        <v>103.72351666666667</v>
      </c>
      <c r="R14" s="12">
        <v>1.2746333333333333</v>
      </c>
      <c r="S14" s="135"/>
      <c r="T14" s="135">
        <v>-1</v>
      </c>
      <c r="U14" s="151"/>
      <c r="V14" s="93">
        <f t="shared" si="1"/>
        <v>0</v>
      </c>
      <c r="W14" s="93">
        <f t="shared" si="2"/>
        <v>0</v>
      </c>
      <c r="X14" s="93">
        <f t="shared" si="0"/>
        <v>0</v>
      </c>
      <c r="Z14" s="8">
        <v>0</v>
      </c>
      <c r="AA14" s="8">
        <v>0</v>
      </c>
      <c r="AC14" s="151"/>
      <c r="AD14" s="8">
        <f t="shared" si="3"/>
        <v>0</v>
      </c>
      <c r="AF14" s="152">
        <v>0</v>
      </c>
      <c r="AG14" s="152">
        <v>0</v>
      </c>
    </row>
    <row r="15" spans="1:33" x14ac:dyDescent="0.25">
      <c r="A15" s="99">
        <f t="shared" si="4"/>
        <v>14</v>
      </c>
      <c r="B15" s="8">
        <v>1</v>
      </c>
      <c r="C15" s="8">
        <v>0</v>
      </c>
      <c r="D15" s="8">
        <v>0</v>
      </c>
      <c r="E15" s="8">
        <v>0</v>
      </c>
      <c r="F15" s="8">
        <v>0</v>
      </c>
      <c r="G15" s="8">
        <v>1</v>
      </c>
      <c r="H15" s="8">
        <v>1</v>
      </c>
      <c r="I15" s="8">
        <v>0</v>
      </c>
      <c r="J15" s="104">
        <v>66</v>
      </c>
      <c r="K15" s="8">
        <v>1</v>
      </c>
      <c r="L15" s="7">
        <v>1.05</v>
      </c>
      <c r="M15" s="100">
        <v>0.95</v>
      </c>
      <c r="N15" s="5" t="s">
        <v>54</v>
      </c>
      <c r="O15" s="57"/>
      <c r="P15" s="58"/>
      <c r="Q15" s="12">
        <v>103.71325</v>
      </c>
      <c r="R15" s="12">
        <v>1.2770833333333333</v>
      </c>
      <c r="S15" s="135"/>
      <c r="T15" s="135">
        <v>-1</v>
      </c>
      <c r="U15" s="151"/>
      <c r="V15" s="93">
        <f t="shared" si="1"/>
        <v>0</v>
      </c>
      <c r="W15" s="93">
        <f t="shared" si="2"/>
        <v>0</v>
      </c>
      <c r="X15" s="93">
        <f t="shared" si="0"/>
        <v>0</v>
      </c>
      <c r="Z15" s="8">
        <v>0</v>
      </c>
      <c r="AA15" s="8">
        <v>0</v>
      </c>
      <c r="AC15" s="151"/>
      <c r="AD15" s="8">
        <f t="shared" si="3"/>
        <v>0</v>
      </c>
      <c r="AF15" s="152">
        <v>0</v>
      </c>
      <c r="AG15" s="152">
        <v>0</v>
      </c>
    </row>
    <row r="16" spans="1:33" x14ac:dyDescent="0.25">
      <c r="A16" s="99">
        <f t="shared" si="4"/>
        <v>15</v>
      </c>
      <c r="B16" s="8">
        <v>1</v>
      </c>
      <c r="C16" s="8">
        <v>0</v>
      </c>
      <c r="D16" s="8">
        <v>0</v>
      </c>
      <c r="E16" s="8">
        <v>0</v>
      </c>
      <c r="F16" s="8">
        <v>0</v>
      </c>
      <c r="G16" s="8">
        <v>1</v>
      </c>
      <c r="H16" s="8">
        <v>1</v>
      </c>
      <c r="I16" s="8">
        <v>0</v>
      </c>
      <c r="J16" s="104">
        <v>66</v>
      </c>
      <c r="K16" s="8">
        <v>1</v>
      </c>
      <c r="L16" s="7">
        <v>1.05</v>
      </c>
      <c r="M16" s="100">
        <v>0.95</v>
      </c>
      <c r="N16" s="5" t="s">
        <v>56</v>
      </c>
      <c r="O16" s="57"/>
      <c r="P16" s="58"/>
      <c r="Q16" s="12">
        <v>103.71693333333333</v>
      </c>
      <c r="R16" s="12">
        <v>1.2707666666666666</v>
      </c>
      <c r="S16" s="135"/>
      <c r="T16" s="135">
        <v>-1</v>
      </c>
      <c r="U16" s="151"/>
      <c r="V16" s="93">
        <f t="shared" si="1"/>
        <v>0</v>
      </c>
      <c r="W16" s="93">
        <f t="shared" si="2"/>
        <v>0</v>
      </c>
      <c r="X16" s="93">
        <f t="shared" si="0"/>
        <v>0</v>
      </c>
      <c r="Z16" s="8">
        <v>0</v>
      </c>
      <c r="AA16" s="8">
        <v>0</v>
      </c>
      <c r="AC16" s="151"/>
      <c r="AD16" s="8">
        <f t="shared" si="3"/>
        <v>0</v>
      </c>
      <c r="AF16" s="152">
        <v>0</v>
      </c>
      <c r="AG16" s="152">
        <v>0</v>
      </c>
    </row>
    <row r="17" spans="1:33" x14ac:dyDescent="0.25">
      <c r="A17" s="99">
        <f t="shared" si="4"/>
        <v>16</v>
      </c>
      <c r="B17" s="8">
        <v>1</v>
      </c>
      <c r="C17" s="8">
        <v>0</v>
      </c>
      <c r="D17" s="8">
        <v>0</v>
      </c>
      <c r="E17" s="8">
        <v>0</v>
      </c>
      <c r="F17" s="8">
        <v>0</v>
      </c>
      <c r="G17" s="8">
        <v>1</v>
      </c>
      <c r="H17" s="8">
        <v>1</v>
      </c>
      <c r="I17" s="8">
        <v>0</v>
      </c>
      <c r="J17" s="104">
        <v>66</v>
      </c>
      <c r="K17" s="8">
        <v>1</v>
      </c>
      <c r="L17" s="7">
        <v>1.05</v>
      </c>
      <c r="M17" s="100">
        <v>0.95</v>
      </c>
      <c r="N17" s="5" t="s">
        <v>53</v>
      </c>
      <c r="O17" s="57"/>
      <c r="P17" s="58"/>
      <c r="Q17" s="12">
        <v>103.70356666666666</v>
      </c>
      <c r="R17" s="12">
        <v>1.26755</v>
      </c>
      <c r="S17" s="135"/>
      <c r="T17" s="135">
        <v>-1</v>
      </c>
      <c r="U17" s="151"/>
      <c r="V17" s="93">
        <f t="shared" si="1"/>
        <v>0</v>
      </c>
      <c r="W17" s="93">
        <f t="shared" si="2"/>
        <v>0</v>
      </c>
      <c r="X17" s="93">
        <f t="shared" si="0"/>
        <v>0</v>
      </c>
      <c r="Z17" s="8">
        <v>0</v>
      </c>
      <c r="AA17" s="8">
        <v>0</v>
      </c>
      <c r="AC17" s="151"/>
      <c r="AD17" s="8">
        <f t="shared" si="3"/>
        <v>0</v>
      </c>
      <c r="AF17" s="152">
        <v>0</v>
      </c>
      <c r="AG17" s="152">
        <v>0</v>
      </c>
    </row>
    <row r="18" spans="1:33" x14ac:dyDescent="0.25">
      <c r="A18" s="99">
        <f t="shared" si="4"/>
        <v>17</v>
      </c>
      <c r="B18" s="8">
        <v>1</v>
      </c>
      <c r="C18" s="8">
        <v>0</v>
      </c>
      <c r="D18" s="8">
        <v>0</v>
      </c>
      <c r="E18" s="8">
        <v>0</v>
      </c>
      <c r="F18" s="8">
        <v>0</v>
      </c>
      <c r="G18" s="8">
        <v>1</v>
      </c>
      <c r="H18" s="8">
        <v>1</v>
      </c>
      <c r="I18" s="8">
        <v>0</v>
      </c>
      <c r="J18" s="104">
        <v>66</v>
      </c>
      <c r="K18" s="8">
        <v>1</v>
      </c>
      <c r="L18" s="7">
        <v>1.05</v>
      </c>
      <c r="M18" s="100">
        <v>0.95</v>
      </c>
      <c r="N18" s="5" t="s">
        <v>59</v>
      </c>
      <c r="O18" s="57"/>
      <c r="P18" s="58"/>
      <c r="Q18" s="12">
        <v>103.70023333333333</v>
      </c>
      <c r="R18" s="12">
        <v>1.2610166666666667</v>
      </c>
      <c r="S18" s="135"/>
      <c r="T18" s="135">
        <v>-1</v>
      </c>
      <c r="U18" s="151"/>
      <c r="V18" s="93">
        <f t="shared" si="1"/>
        <v>0</v>
      </c>
      <c r="W18" s="93">
        <f t="shared" si="2"/>
        <v>0</v>
      </c>
      <c r="X18" s="93">
        <f t="shared" si="0"/>
        <v>0</v>
      </c>
      <c r="Z18" s="8">
        <v>0</v>
      </c>
      <c r="AA18" s="8">
        <v>0</v>
      </c>
      <c r="AC18" s="151"/>
      <c r="AD18" s="8">
        <f t="shared" si="3"/>
        <v>0</v>
      </c>
      <c r="AF18" s="152">
        <v>0</v>
      </c>
      <c r="AG18" s="152">
        <v>0</v>
      </c>
    </row>
    <row r="19" spans="1:33" x14ac:dyDescent="0.25">
      <c r="A19" s="99">
        <f t="shared" si="4"/>
        <v>18</v>
      </c>
      <c r="B19" s="100">
        <v>1</v>
      </c>
      <c r="C19" s="100">
        <v>0</v>
      </c>
      <c r="D19" s="100">
        <v>0</v>
      </c>
      <c r="E19" s="100">
        <v>0</v>
      </c>
      <c r="F19" s="100">
        <v>0</v>
      </c>
      <c r="G19" s="100">
        <v>1</v>
      </c>
      <c r="H19" s="100">
        <v>1</v>
      </c>
      <c r="I19" s="100">
        <v>0</v>
      </c>
      <c r="J19" s="132">
        <v>66</v>
      </c>
      <c r="K19" s="100">
        <v>1</v>
      </c>
      <c r="L19" s="7">
        <v>1.05</v>
      </c>
      <c r="M19" s="100">
        <v>0.95</v>
      </c>
      <c r="N19" s="5" t="s">
        <v>60</v>
      </c>
      <c r="O19" s="102"/>
      <c r="P19" s="102"/>
      <c r="Q19" s="101">
        <v>103.684</v>
      </c>
      <c r="R19" s="101">
        <v>1.2715000000000001</v>
      </c>
      <c r="S19" s="135"/>
      <c r="T19" s="135">
        <v>-1</v>
      </c>
      <c r="U19" s="151"/>
      <c r="V19" s="93">
        <f t="shared" si="1"/>
        <v>0</v>
      </c>
      <c r="W19" s="93">
        <f t="shared" si="2"/>
        <v>0</v>
      </c>
      <c r="X19" s="93">
        <f t="shared" si="0"/>
        <v>0</v>
      </c>
      <c r="Z19" s="100">
        <v>0</v>
      </c>
      <c r="AA19" s="100">
        <v>0</v>
      </c>
      <c r="AC19" s="151"/>
      <c r="AD19" s="8">
        <f t="shared" si="3"/>
        <v>0</v>
      </c>
      <c r="AF19" s="152">
        <v>0</v>
      </c>
      <c r="AG19" s="152">
        <v>0</v>
      </c>
    </row>
    <row r="20" spans="1:33" x14ac:dyDescent="0.25">
      <c r="A20" s="99">
        <f t="shared" si="4"/>
        <v>19</v>
      </c>
      <c r="B20" s="8">
        <v>1</v>
      </c>
      <c r="C20" s="8">
        <v>0</v>
      </c>
      <c r="D20" s="8">
        <v>0</v>
      </c>
      <c r="E20" s="8">
        <v>0</v>
      </c>
      <c r="F20" s="8">
        <v>0</v>
      </c>
      <c r="G20" s="8">
        <v>1</v>
      </c>
      <c r="H20" s="8">
        <v>1</v>
      </c>
      <c r="I20" s="8">
        <v>0</v>
      </c>
      <c r="J20" s="104">
        <v>66</v>
      </c>
      <c r="K20" s="8">
        <v>1</v>
      </c>
      <c r="L20" s="7">
        <v>1.05</v>
      </c>
      <c r="M20" s="100">
        <v>0.95</v>
      </c>
      <c r="N20" s="5" t="s">
        <v>62</v>
      </c>
      <c r="O20" s="29"/>
      <c r="P20" s="29"/>
      <c r="Q20" s="12">
        <v>103.68238333333333</v>
      </c>
      <c r="R20" s="12">
        <v>1.2506166666666667</v>
      </c>
      <c r="S20" s="135"/>
      <c r="T20" s="135">
        <v>-1</v>
      </c>
      <c r="U20" s="151"/>
      <c r="V20" s="93">
        <f t="shared" si="1"/>
        <v>0</v>
      </c>
      <c r="W20" s="93">
        <f t="shared" si="2"/>
        <v>0</v>
      </c>
      <c r="X20" s="93">
        <f t="shared" si="0"/>
        <v>0</v>
      </c>
      <c r="Z20" s="8">
        <v>0</v>
      </c>
      <c r="AA20" s="8">
        <v>0</v>
      </c>
      <c r="AC20" s="151"/>
      <c r="AD20" s="8">
        <f t="shared" si="3"/>
        <v>0</v>
      </c>
      <c r="AF20" s="152">
        <v>0</v>
      </c>
      <c r="AG20" s="152">
        <v>0</v>
      </c>
    </row>
    <row r="21" spans="1:33" x14ac:dyDescent="0.25">
      <c r="A21" s="99">
        <f t="shared" si="4"/>
        <v>20</v>
      </c>
      <c r="B21" s="8">
        <v>1</v>
      </c>
      <c r="C21" s="8">
        <v>0</v>
      </c>
      <c r="D21" s="8">
        <v>0</v>
      </c>
      <c r="E21" s="8">
        <v>0</v>
      </c>
      <c r="F21" s="8">
        <v>0</v>
      </c>
      <c r="G21" s="8">
        <v>1</v>
      </c>
      <c r="H21" s="8">
        <v>1</v>
      </c>
      <c r="I21" s="8">
        <v>0</v>
      </c>
      <c r="J21" s="104">
        <v>66</v>
      </c>
      <c r="K21" s="8">
        <v>1</v>
      </c>
      <c r="L21" s="7">
        <v>1.05</v>
      </c>
      <c r="M21" s="100">
        <v>0.95</v>
      </c>
      <c r="N21" s="5" t="s">
        <v>61</v>
      </c>
      <c r="O21" s="29"/>
      <c r="P21" s="29"/>
      <c r="Q21" s="12">
        <v>103.66601666666666</v>
      </c>
      <c r="R21" s="12">
        <v>1.2667666666666666</v>
      </c>
      <c r="S21" s="135"/>
      <c r="T21" s="135">
        <v>-1</v>
      </c>
      <c r="U21" s="151"/>
      <c r="V21" s="93">
        <f t="shared" si="1"/>
        <v>0</v>
      </c>
      <c r="W21" s="93">
        <f t="shared" si="2"/>
        <v>0</v>
      </c>
      <c r="X21" s="93">
        <f t="shared" si="0"/>
        <v>0</v>
      </c>
      <c r="Z21" s="8">
        <v>0</v>
      </c>
      <c r="AA21" s="8">
        <v>0</v>
      </c>
      <c r="AC21" s="151"/>
      <c r="AD21" s="8">
        <f t="shared" si="3"/>
        <v>0</v>
      </c>
      <c r="AF21" s="152">
        <v>0</v>
      </c>
      <c r="AG21" s="152">
        <v>0</v>
      </c>
    </row>
    <row r="22" spans="1:33" x14ac:dyDescent="0.25">
      <c r="A22" s="99">
        <f t="shared" si="4"/>
        <v>21</v>
      </c>
      <c r="B22" s="8">
        <v>1</v>
      </c>
      <c r="C22" s="8">
        <v>0</v>
      </c>
      <c r="D22" s="8">
        <v>0</v>
      </c>
      <c r="E22" s="8">
        <v>0</v>
      </c>
      <c r="F22" s="8">
        <v>0</v>
      </c>
      <c r="G22" s="8">
        <v>1</v>
      </c>
      <c r="H22" s="8">
        <v>1</v>
      </c>
      <c r="I22" s="8">
        <v>0</v>
      </c>
      <c r="J22" s="6">
        <v>22</v>
      </c>
      <c r="K22" s="8">
        <v>1</v>
      </c>
      <c r="L22" s="7">
        <v>1.05</v>
      </c>
      <c r="M22" s="100">
        <v>0.95</v>
      </c>
      <c r="N22" s="5" t="s">
        <v>99</v>
      </c>
      <c r="O22" s="29"/>
      <c r="P22" s="29"/>
      <c r="Q22" s="12">
        <v>103.72075</v>
      </c>
      <c r="R22" s="12">
        <v>1.2856166666666666</v>
      </c>
      <c r="S22" s="135"/>
      <c r="T22" s="135">
        <v>-1</v>
      </c>
      <c r="U22" s="151"/>
      <c r="V22" s="93">
        <f t="shared" si="1"/>
        <v>0</v>
      </c>
      <c r="W22" s="93">
        <f t="shared" si="2"/>
        <v>0</v>
      </c>
      <c r="X22" s="93">
        <f t="shared" si="0"/>
        <v>0</v>
      </c>
      <c r="Z22" s="8">
        <v>0</v>
      </c>
      <c r="AA22" s="8">
        <v>0</v>
      </c>
      <c r="AC22" s="151"/>
      <c r="AD22" s="8">
        <f t="shared" si="3"/>
        <v>0</v>
      </c>
      <c r="AF22" s="152">
        <v>0</v>
      </c>
      <c r="AG22" s="152">
        <v>0</v>
      </c>
    </row>
    <row r="23" spans="1:33" x14ac:dyDescent="0.25">
      <c r="A23" s="99">
        <f t="shared" si="4"/>
        <v>22</v>
      </c>
      <c r="B23" s="8">
        <v>1</v>
      </c>
      <c r="C23" s="8">
        <v>0</v>
      </c>
      <c r="D23" s="8">
        <v>0</v>
      </c>
      <c r="E23" s="8">
        <v>0</v>
      </c>
      <c r="F23" s="8">
        <v>0</v>
      </c>
      <c r="G23" s="8">
        <v>1</v>
      </c>
      <c r="H23" s="8">
        <v>1</v>
      </c>
      <c r="I23" s="8">
        <v>0</v>
      </c>
      <c r="J23" s="6">
        <v>22</v>
      </c>
      <c r="K23" s="8">
        <v>1</v>
      </c>
      <c r="L23" s="7">
        <v>1.05</v>
      </c>
      <c r="M23" s="100">
        <v>0.95</v>
      </c>
      <c r="N23" s="5" t="s">
        <v>83</v>
      </c>
      <c r="O23" s="29"/>
      <c r="P23" s="29"/>
      <c r="Q23" s="12">
        <v>103.72351666666667</v>
      </c>
      <c r="R23" s="12">
        <v>1.2746333333333333</v>
      </c>
      <c r="S23" s="135"/>
      <c r="T23" s="135">
        <v>-1</v>
      </c>
      <c r="U23" s="151"/>
      <c r="V23" s="93">
        <f t="shared" si="1"/>
        <v>0</v>
      </c>
      <c r="W23" s="93">
        <f t="shared" si="2"/>
        <v>0</v>
      </c>
      <c r="X23" s="93">
        <f t="shared" si="0"/>
        <v>0</v>
      </c>
      <c r="Z23" s="8">
        <v>0</v>
      </c>
      <c r="AA23" s="8">
        <v>0</v>
      </c>
      <c r="AC23" s="151"/>
      <c r="AD23" s="8">
        <f t="shared" si="3"/>
        <v>0</v>
      </c>
      <c r="AF23" s="152">
        <v>0</v>
      </c>
      <c r="AG23" s="152">
        <v>0</v>
      </c>
    </row>
    <row r="24" spans="1:33" x14ac:dyDescent="0.25">
      <c r="A24" s="99">
        <f t="shared" si="4"/>
        <v>23</v>
      </c>
      <c r="B24" s="8">
        <v>1</v>
      </c>
      <c r="C24" s="8">
        <v>0</v>
      </c>
      <c r="D24" s="8">
        <v>0</v>
      </c>
      <c r="E24" s="8">
        <v>0</v>
      </c>
      <c r="F24" s="8">
        <v>0</v>
      </c>
      <c r="G24" s="8">
        <v>1</v>
      </c>
      <c r="H24" s="8">
        <v>1</v>
      </c>
      <c r="I24" s="8">
        <v>0</v>
      </c>
      <c r="J24" s="6">
        <v>22</v>
      </c>
      <c r="K24" s="8">
        <v>1</v>
      </c>
      <c r="L24" s="7">
        <v>1.05</v>
      </c>
      <c r="M24" s="100">
        <v>0.95</v>
      </c>
      <c r="N24" s="5" t="s">
        <v>63</v>
      </c>
      <c r="O24" s="29"/>
      <c r="P24" s="29"/>
      <c r="Q24" s="12">
        <v>103.71325</v>
      </c>
      <c r="R24" s="12">
        <v>1.2770833333333333</v>
      </c>
      <c r="S24" s="135"/>
      <c r="T24" s="135">
        <v>-1</v>
      </c>
      <c r="U24" s="151"/>
      <c r="V24" s="93">
        <f t="shared" si="1"/>
        <v>0</v>
      </c>
      <c r="W24" s="93">
        <f t="shared" si="2"/>
        <v>0</v>
      </c>
      <c r="X24" s="93">
        <f t="shared" si="0"/>
        <v>0</v>
      </c>
      <c r="Z24" s="8">
        <v>0</v>
      </c>
      <c r="AA24" s="8">
        <v>0</v>
      </c>
      <c r="AC24" s="151"/>
      <c r="AD24" s="8">
        <f t="shared" si="3"/>
        <v>0</v>
      </c>
      <c r="AF24" s="152">
        <v>0</v>
      </c>
      <c r="AG24" s="152">
        <v>0</v>
      </c>
    </row>
    <row r="25" spans="1:33" x14ac:dyDescent="0.25">
      <c r="A25" s="99">
        <f t="shared" si="4"/>
        <v>24</v>
      </c>
      <c r="B25" s="8">
        <v>1</v>
      </c>
      <c r="C25" s="8">
        <v>0</v>
      </c>
      <c r="D25" s="8">
        <v>0</v>
      </c>
      <c r="E25" s="8">
        <v>0</v>
      </c>
      <c r="F25" s="8">
        <v>0</v>
      </c>
      <c r="G25" s="8">
        <v>1</v>
      </c>
      <c r="H25" s="8">
        <v>1</v>
      </c>
      <c r="I25" s="8">
        <v>0</v>
      </c>
      <c r="J25" s="6">
        <v>22</v>
      </c>
      <c r="K25" s="8">
        <v>1</v>
      </c>
      <c r="L25" s="7">
        <v>1.05</v>
      </c>
      <c r="M25" s="100">
        <v>0.95</v>
      </c>
      <c r="N25" s="5" t="s">
        <v>80</v>
      </c>
      <c r="O25" s="29"/>
      <c r="P25" s="29"/>
      <c r="Q25" s="12">
        <v>103.71693333333333</v>
      </c>
      <c r="R25" s="12">
        <v>1.2707666666666666</v>
      </c>
      <c r="S25" s="135"/>
      <c r="T25" s="135">
        <v>-1</v>
      </c>
      <c r="U25" s="151"/>
      <c r="V25" s="93">
        <f t="shared" si="1"/>
        <v>0</v>
      </c>
      <c r="W25" s="93">
        <f t="shared" si="2"/>
        <v>0</v>
      </c>
      <c r="X25" s="93">
        <f t="shared" ref="X25:X56" si="5">IF(C25&gt;0, C25/SQRT(C25*C25+D25*D25), 0)</f>
        <v>0</v>
      </c>
      <c r="Z25" s="8">
        <v>0</v>
      </c>
      <c r="AA25" s="8">
        <v>0</v>
      </c>
      <c r="AC25" s="151"/>
      <c r="AD25" s="8">
        <f t="shared" si="3"/>
        <v>0</v>
      </c>
      <c r="AF25" s="152">
        <v>0</v>
      </c>
      <c r="AG25" s="152">
        <v>0</v>
      </c>
    </row>
    <row r="26" spans="1:33" x14ac:dyDescent="0.25">
      <c r="A26" s="99">
        <f t="shared" si="4"/>
        <v>25</v>
      </c>
      <c r="B26" s="8">
        <v>1</v>
      </c>
      <c r="C26" s="8">
        <v>0</v>
      </c>
      <c r="D26" s="8">
        <v>0</v>
      </c>
      <c r="E26" s="8">
        <v>0</v>
      </c>
      <c r="F26" s="8">
        <v>0</v>
      </c>
      <c r="G26" s="8">
        <v>1</v>
      </c>
      <c r="H26" s="8">
        <v>1</v>
      </c>
      <c r="I26" s="8">
        <v>0</v>
      </c>
      <c r="J26" s="6">
        <v>22</v>
      </c>
      <c r="K26" s="8">
        <v>1</v>
      </c>
      <c r="L26" s="7">
        <v>1.05</v>
      </c>
      <c r="M26" s="100">
        <v>0.95</v>
      </c>
      <c r="N26" s="5" t="s">
        <v>122</v>
      </c>
      <c r="O26" s="29"/>
      <c r="P26" s="29"/>
      <c r="Q26" s="12">
        <v>103.70356666666666</v>
      </c>
      <c r="R26" s="12">
        <v>1.26755</v>
      </c>
      <c r="S26" s="135"/>
      <c r="T26" s="135">
        <v>-1</v>
      </c>
      <c r="U26" s="151"/>
      <c r="V26" s="93">
        <f t="shared" si="1"/>
        <v>0</v>
      </c>
      <c r="W26" s="93">
        <f t="shared" si="2"/>
        <v>0</v>
      </c>
      <c r="X26" s="93">
        <f t="shared" si="5"/>
        <v>0</v>
      </c>
      <c r="Z26" s="8">
        <v>0</v>
      </c>
      <c r="AA26" s="8">
        <v>0</v>
      </c>
      <c r="AC26" s="151"/>
      <c r="AD26" s="8">
        <f t="shared" si="3"/>
        <v>0</v>
      </c>
      <c r="AF26" s="152">
        <v>0</v>
      </c>
      <c r="AG26" s="152">
        <v>0</v>
      </c>
    </row>
    <row r="27" spans="1:33" x14ac:dyDescent="0.25">
      <c r="A27" s="99">
        <f t="shared" si="4"/>
        <v>26</v>
      </c>
      <c r="B27" s="8">
        <v>1</v>
      </c>
      <c r="C27" s="8">
        <v>0</v>
      </c>
      <c r="D27" s="8">
        <v>0</v>
      </c>
      <c r="E27" s="8">
        <v>0</v>
      </c>
      <c r="F27" s="8">
        <v>0</v>
      </c>
      <c r="G27" s="8">
        <v>1</v>
      </c>
      <c r="H27" s="8">
        <v>1</v>
      </c>
      <c r="I27" s="8">
        <v>0</v>
      </c>
      <c r="J27" s="6">
        <v>22</v>
      </c>
      <c r="K27" s="8">
        <v>1</v>
      </c>
      <c r="L27" s="7">
        <v>1.05</v>
      </c>
      <c r="M27" s="100">
        <v>0.95</v>
      </c>
      <c r="N27" s="5" t="s">
        <v>93</v>
      </c>
      <c r="O27" s="29"/>
      <c r="P27" s="29"/>
      <c r="Q27" s="12">
        <v>103.70023333333333</v>
      </c>
      <c r="R27" s="12">
        <v>1.2610166666666667</v>
      </c>
      <c r="S27" s="135"/>
      <c r="T27" s="135">
        <v>-1</v>
      </c>
      <c r="U27" s="151"/>
      <c r="V27" s="93">
        <f t="shared" si="1"/>
        <v>0</v>
      </c>
      <c r="W27" s="93">
        <f t="shared" si="2"/>
        <v>0</v>
      </c>
      <c r="X27" s="93">
        <f t="shared" si="5"/>
        <v>0</v>
      </c>
      <c r="Z27" s="8">
        <v>0</v>
      </c>
      <c r="AA27" s="8">
        <v>0</v>
      </c>
      <c r="AC27" s="151"/>
      <c r="AD27" s="8">
        <f t="shared" si="3"/>
        <v>0</v>
      </c>
      <c r="AF27" s="152">
        <v>0</v>
      </c>
      <c r="AG27" s="152">
        <v>0</v>
      </c>
    </row>
    <row r="28" spans="1:33" x14ac:dyDescent="0.25">
      <c r="A28" s="99">
        <f t="shared" si="4"/>
        <v>27</v>
      </c>
      <c r="B28" s="100">
        <v>1</v>
      </c>
      <c r="C28" s="100">
        <v>0</v>
      </c>
      <c r="D28" s="100">
        <v>0</v>
      </c>
      <c r="E28" s="100">
        <v>0</v>
      </c>
      <c r="F28" s="100">
        <v>0</v>
      </c>
      <c r="G28" s="100">
        <v>1</v>
      </c>
      <c r="H28" s="100">
        <v>1</v>
      </c>
      <c r="I28" s="100">
        <v>0</v>
      </c>
      <c r="J28" s="99">
        <v>22</v>
      </c>
      <c r="K28" s="100">
        <v>1</v>
      </c>
      <c r="L28" s="7">
        <v>1.05</v>
      </c>
      <c r="M28" s="100">
        <v>0.95</v>
      </c>
      <c r="N28" s="5" t="s">
        <v>115</v>
      </c>
      <c r="O28" s="102"/>
      <c r="P28" s="102"/>
      <c r="Q28" s="101">
        <v>103.684</v>
      </c>
      <c r="R28" s="101">
        <v>1.2715000000000001</v>
      </c>
      <c r="S28" s="135"/>
      <c r="T28" s="135">
        <v>-1</v>
      </c>
      <c r="U28" s="151"/>
      <c r="V28" s="93">
        <f t="shared" si="1"/>
        <v>0</v>
      </c>
      <c r="W28" s="93">
        <f t="shared" si="2"/>
        <v>0</v>
      </c>
      <c r="X28" s="93">
        <f t="shared" si="5"/>
        <v>0</v>
      </c>
      <c r="Z28" s="100">
        <v>0</v>
      </c>
      <c r="AA28" s="100">
        <v>0</v>
      </c>
      <c r="AC28" s="151"/>
      <c r="AD28" s="8">
        <f t="shared" si="3"/>
        <v>0</v>
      </c>
      <c r="AF28" s="152">
        <v>0</v>
      </c>
      <c r="AG28" s="152">
        <v>0</v>
      </c>
    </row>
    <row r="29" spans="1:33" x14ac:dyDescent="0.25">
      <c r="A29" s="99">
        <f t="shared" si="4"/>
        <v>28</v>
      </c>
      <c r="B29" s="8">
        <v>1</v>
      </c>
      <c r="C29" s="8">
        <v>0</v>
      </c>
      <c r="D29" s="8">
        <v>0</v>
      </c>
      <c r="E29" s="8">
        <v>0</v>
      </c>
      <c r="F29" s="8">
        <v>0</v>
      </c>
      <c r="G29" s="8">
        <v>1</v>
      </c>
      <c r="H29" s="8">
        <v>1</v>
      </c>
      <c r="I29" s="8">
        <v>0</v>
      </c>
      <c r="J29" s="6">
        <v>22</v>
      </c>
      <c r="K29" s="8">
        <v>1</v>
      </c>
      <c r="L29" s="7">
        <v>1.05</v>
      </c>
      <c r="M29" s="100">
        <v>0.95</v>
      </c>
      <c r="N29" s="5" t="s">
        <v>191</v>
      </c>
      <c r="O29" s="29"/>
      <c r="P29" s="58"/>
      <c r="Q29" s="12">
        <v>103.68238333333333</v>
      </c>
      <c r="R29" s="12">
        <v>1.2506166666666667</v>
      </c>
      <c r="S29" s="135"/>
      <c r="T29" s="135">
        <v>-1</v>
      </c>
      <c r="U29" s="151"/>
      <c r="V29" s="93">
        <f t="shared" si="1"/>
        <v>0</v>
      </c>
      <c r="W29" s="93">
        <f t="shared" si="2"/>
        <v>0</v>
      </c>
      <c r="X29" s="93">
        <f t="shared" si="5"/>
        <v>0</v>
      </c>
      <c r="Z29" s="8">
        <v>0</v>
      </c>
      <c r="AA29" s="8">
        <v>0</v>
      </c>
      <c r="AC29" s="151"/>
      <c r="AD29" s="8">
        <f t="shared" si="3"/>
        <v>0</v>
      </c>
      <c r="AF29" s="152">
        <v>0</v>
      </c>
      <c r="AG29" s="152">
        <v>0</v>
      </c>
    </row>
    <row r="30" spans="1:33" x14ac:dyDescent="0.25">
      <c r="A30" s="99">
        <f t="shared" si="4"/>
        <v>29</v>
      </c>
      <c r="B30" s="8">
        <v>1</v>
      </c>
      <c r="C30" s="8">
        <v>0</v>
      </c>
      <c r="D30" s="8">
        <v>0</v>
      </c>
      <c r="E30" s="8">
        <v>0</v>
      </c>
      <c r="F30" s="8">
        <v>0</v>
      </c>
      <c r="G30" s="8">
        <v>1</v>
      </c>
      <c r="H30" s="8">
        <v>1</v>
      </c>
      <c r="I30" s="8">
        <v>0</v>
      </c>
      <c r="J30" s="6">
        <v>22</v>
      </c>
      <c r="K30" s="8">
        <v>1</v>
      </c>
      <c r="L30" s="7">
        <v>1.05</v>
      </c>
      <c r="M30" s="100">
        <v>0.95</v>
      </c>
      <c r="N30" s="5" t="s">
        <v>166</v>
      </c>
      <c r="O30" s="57"/>
      <c r="P30" s="58"/>
      <c r="Q30" s="12">
        <v>103.66601666666666</v>
      </c>
      <c r="R30" s="12">
        <v>1.2667666666666666</v>
      </c>
      <c r="S30" s="135"/>
      <c r="T30" s="135">
        <v>-1</v>
      </c>
      <c r="U30" s="151"/>
      <c r="V30" s="93">
        <f t="shared" si="1"/>
        <v>0</v>
      </c>
      <c r="W30" s="93">
        <f t="shared" si="2"/>
        <v>0</v>
      </c>
      <c r="X30" s="93">
        <f t="shared" si="5"/>
        <v>0</v>
      </c>
      <c r="Z30" s="8">
        <v>0</v>
      </c>
      <c r="AA30" s="8">
        <v>0</v>
      </c>
      <c r="AC30" s="151"/>
      <c r="AD30" s="8">
        <f t="shared" si="3"/>
        <v>0</v>
      </c>
      <c r="AF30" s="152">
        <v>0</v>
      </c>
      <c r="AG30" s="152">
        <v>0</v>
      </c>
    </row>
    <row r="31" spans="1:33" x14ac:dyDescent="0.25">
      <c r="A31" s="99">
        <f t="shared" si="4"/>
        <v>30</v>
      </c>
      <c r="B31" s="8">
        <v>1</v>
      </c>
      <c r="C31" s="8">
        <v>12.9727</v>
      </c>
      <c r="D31" s="8">
        <v>6.3334999999999999</v>
      </c>
      <c r="E31" s="8">
        <v>0</v>
      </c>
      <c r="F31" s="8">
        <v>0</v>
      </c>
      <c r="G31" s="8">
        <v>1</v>
      </c>
      <c r="H31" s="8">
        <v>1</v>
      </c>
      <c r="I31" s="8">
        <v>0</v>
      </c>
      <c r="J31" s="6">
        <v>22</v>
      </c>
      <c r="K31" s="8">
        <v>1</v>
      </c>
      <c r="L31" s="7">
        <v>1.05</v>
      </c>
      <c r="M31" s="100">
        <v>0.95</v>
      </c>
      <c r="N31" s="5" t="s">
        <v>107</v>
      </c>
      <c r="O31" s="57"/>
      <c r="P31" s="58"/>
      <c r="Q31" s="12">
        <v>103.72006666666667</v>
      </c>
      <c r="R31" s="12">
        <v>1.2851166666666667</v>
      </c>
      <c r="S31" s="136" t="s">
        <v>927</v>
      </c>
      <c r="T31" s="136">
        <v>1</v>
      </c>
      <c r="U31" s="151">
        <v>15</v>
      </c>
      <c r="V31" s="93">
        <f t="shared" si="1"/>
        <v>13.479333986526944</v>
      </c>
      <c r="W31" s="93">
        <f t="shared" si="2"/>
        <v>6.5808476110345886</v>
      </c>
      <c r="X31" s="93">
        <f t="shared" si="5"/>
        <v>0.89862226576846294</v>
      </c>
      <c r="Z31" s="8">
        <v>2.9699999840000002</v>
      </c>
      <c r="AA31" s="8">
        <v>1.449999958</v>
      </c>
      <c r="AC31" s="151">
        <v>15</v>
      </c>
      <c r="AD31" s="8">
        <f t="shared" si="3"/>
        <v>14.7</v>
      </c>
      <c r="AF31" s="152">
        <v>12.9727</v>
      </c>
      <c r="AG31" s="152">
        <v>6.3334999999999999</v>
      </c>
    </row>
    <row r="32" spans="1:33" x14ac:dyDescent="0.25">
      <c r="A32" s="99">
        <f t="shared" si="4"/>
        <v>31</v>
      </c>
      <c r="B32" s="8">
        <v>1</v>
      </c>
      <c r="C32" s="8">
        <v>0.82699999999999996</v>
      </c>
      <c r="D32" s="8">
        <v>0.40489999999999998</v>
      </c>
      <c r="E32" s="8">
        <v>0</v>
      </c>
      <c r="F32" s="8">
        <v>0</v>
      </c>
      <c r="G32" s="8">
        <v>1</v>
      </c>
      <c r="H32" s="8">
        <v>1</v>
      </c>
      <c r="I32" s="8">
        <v>0</v>
      </c>
      <c r="J32" s="6">
        <v>22</v>
      </c>
      <c r="K32" s="8">
        <v>1</v>
      </c>
      <c r="L32" s="7">
        <v>1.05</v>
      </c>
      <c r="M32" s="100">
        <v>0.95</v>
      </c>
      <c r="N32" s="5" t="s">
        <v>127</v>
      </c>
      <c r="O32" s="57"/>
      <c r="P32" s="58"/>
      <c r="Q32" s="12">
        <v>103.72031666666666</v>
      </c>
      <c r="R32" s="12">
        <v>1.2831833333333333</v>
      </c>
      <c r="S32" s="134" t="s">
        <v>928</v>
      </c>
      <c r="T32" s="134">
        <v>2</v>
      </c>
      <c r="U32" s="151">
        <v>1</v>
      </c>
      <c r="V32" s="93">
        <f t="shared" si="1"/>
        <v>0.89813186311286497</v>
      </c>
      <c r="W32" s="93">
        <f t="shared" si="2"/>
        <v>0.43972622898959984</v>
      </c>
      <c r="X32" s="93">
        <f t="shared" si="5"/>
        <v>0.89813186311286497</v>
      </c>
      <c r="Z32" s="8">
        <v>36.770001049999998</v>
      </c>
      <c r="AA32" s="8">
        <v>18.000000719999999</v>
      </c>
      <c r="AC32" s="151">
        <v>1</v>
      </c>
      <c r="AD32" s="8">
        <f t="shared" si="3"/>
        <v>0.98</v>
      </c>
      <c r="AF32" s="152">
        <v>0.82699999999999996</v>
      </c>
      <c r="AG32" s="152">
        <v>0.40489999999999998</v>
      </c>
    </row>
    <row r="33" spans="1:33" x14ac:dyDescent="0.25">
      <c r="A33" s="99">
        <f t="shared" si="4"/>
        <v>32</v>
      </c>
      <c r="B33" s="8">
        <v>1</v>
      </c>
      <c r="C33" s="8">
        <v>0</v>
      </c>
      <c r="D33" s="8">
        <v>0</v>
      </c>
      <c r="E33" s="8">
        <v>0</v>
      </c>
      <c r="F33" s="8">
        <v>0</v>
      </c>
      <c r="G33" s="8">
        <v>1</v>
      </c>
      <c r="H33" s="8">
        <v>1</v>
      </c>
      <c r="I33" s="8">
        <v>0</v>
      </c>
      <c r="J33" s="6">
        <v>22</v>
      </c>
      <c r="K33" s="8">
        <v>1</v>
      </c>
      <c r="L33" s="7">
        <v>1.05</v>
      </c>
      <c r="M33" s="100">
        <v>0.95</v>
      </c>
      <c r="N33" s="5" t="s">
        <v>126</v>
      </c>
      <c r="O33" s="57"/>
      <c r="P33" s="58"/>
      <c r="Q33" s="12">
        <v>103.7195</v>
      </c>
      <c r="R33" s="12">
        <v>1.2827999999999999</v>
      </c>
      <c r="S33" s="139"/>
      <c r="T33" s="139">
        <v>0</v>
      </c>
      <c r="U33" s="151">
        <v>0</v>
      </c>
      <c r="V33" s="93">
        <f t="shared" si="1"/>
        <v>0</v>
      </c>
      <c r="W33" s="93">
        <f t="shared" si="2"/>
        <v>0</v>
      </c>
      <c r="X33" s="93">
        <f t="shared" si="5"/>
        <v>0</v>
      </c>
      <c r="Z33" s="8">
        <v>0</v>
      </c>
      <c r="AA33" s="8">
        <v>0</v>
      </c>
      <c r="AC33" s="151">
        <v>0</v>
      </c>
      <c r="AD33" s="8">
        <f t="shared" si="3"/>
        <v>0</v>
      </c>
      <c r="AF33" s="152">
        <v>0</v>
      </c>
      <c r="AG33" s="152">
        <v>0</v>
      </c>
    </row>
    <row r="34" spans="1:33" x14ac:dyDescent="0.25">
      <c r="A34" s="99">
        <f t="shared" si="4"/>
        <v>33</v>
      </c>
      <c r="B34" s="8">
        <v>1</v>
      </c>
      <c r="C34" s="8">
        <v>2.4662000000000002</v>
      </c>
      <c r="D34" s="8">
        <v>1.3259000000000001</v>
      </c>
      <c r="E34" s="8">
        <v>0</v>
      </c>
      <c r="F34" s="8">
        <v>0</v>
      </c>
      <c r="G34" s="8">
        <v>1</v>
      </c>
      <c r="H34" s="8">
        <v>1</v>
      </c>
      <c r="I34" s="8">
        <v>0</v>
      </c>
      <c r="J34" s="6">
        <v>22</v>
      </c>
      <c r="K34" s="8">
        <v>1</v>
      </c>
      <c r="L34" s="7">
        <v>1.05</v>
      </c>
      <c r="M34" s="100">
        <v>0.95</v>
      </c>
      <c r="N34" s="5" t="s">
        <v>101</v>
      </c>
      <c r="O34" s="57"/>
      <c r="P34" s="58"/>
      <c r="Q34" s="12">
        <v>103.72146666666667</v>
      </c>
      <c r="R34" s="12">
        <v>1.2857000000000001</v>
      </c>
      <c r="S34" s="136" t="s">
        <v>930</v>
      </c>
      <c r="T34" s="136">
        <v>1</v>
      </c>
      <c r="U34" s="151">
        <v>3</v>
      </c>
      <c r="V34" s="93">
        <f t="shared" si="1"/>
        <v>2.6423313179020638</v>
      </c>
      <c r="W34" s="93">
        <f t="shared" si="2"/>
        <v>1.4205932586190682</v>
      </c>
      <c r="X34" s="93">
        <f t="shared" si="5"/>
        <v>0.88077710596735459</v>
      </c>
      <c r="Z34" s="8">
        <v>1.860000007</v>
      </c>
      <c r="AA34" s="8">
        <v>0.99999997799999996</v>
      </c>
      <c r="AC34" s="151">
        <v>3</v>
      </c>
      <c r="AD34" s="8">
        <f t="shared" si="3"/>
        <v>2.94</v>
      </c>
      <c r="AF34" s="152">
        <v>2.4662000000000002</v>
      </c>
      <c r="AG34" s="152">
        <v>1.3259000000000001</v>
      </c>
    </row>
    <row r="35" spans="1:33" x14ac:dyDescent="0.25">
      <c r="A35" s="99">
        <f t="shared" si="4"/>
        <v>34</v>
      </c>
      <c r="B35" s="8">
        <v>1</v>
      </c>
      <c r="C35" s="8">
        <v>5.3780999999999999</v>
      </c>
      <c r="D35" s="8">
        <v>2.5918999999999999</v>
      </c>
      <c r="E35" s="8">
        <v>0</v>
      </c>
      <c r="F35" s="8">
        <v>0</v>
      </c>
      <c r="G35" s="8">
        <v>1</v>
      </c>
      <c r="H35" s="8">
        <v>1</v>
      </c>
      <c r="I35" s="8">
        <v>0</v>
      </c>
      <c r="J35" s="6">
        <v>22</v>
      </c>
      <c r="K35" s="8">
        <v>1</v>
      </c>
      <c r="L35" s="7">
        <v>1.05</v>
      </c>
      <c r="M35" s="100">
        <v>0.95</v>
      </c>
      <c r="N35" s="5" t="s">
        <v>102</v>
      </c>
      <c r="O35" s="57"/>
      <c r="P35" s="58"/>
      <c r="Q35" s="12">
        <v>103.72343333333333</v>
      </c>
      <c r="R35" s="12">
        <v>1.2862333333333333</v>
      </c>
      <c r="S35" s="136" t="s">
        <v>931</v>
      </c>
      <c r="T35" s="136">
        <v>1</v>
      </c>
      <c r="U35" s="151">
        <v>6</v>
      </c>
      <c r="V35" s="93">
        <f t="shared" si="1"/>
        <v>5.4050494063638306</v>
      </c>
      <c r="W35" s="93">
        <f t="shared" si="2"/>
        <v>2.6048878890973413</v>
      </c>
      <c r="X35" s="93">
        <f t="shared" si="5"/>
        <v>0.90084156772730506</v>
      </c>
      <c r="Z35" s="8">
        <v>4.1499998419999997</v>
      </c>
      <c r="AA35" s="8">
        <v>1.9999999550000001</v>
      </c>
      <c r="AC35" s="151">
        <v>6</v>
      </c>
      <c r="AD35" s="8">
        <f t="shared" si="3"/>
        <v>5.88</v>
      </c>
      <c r="AF35" s="152">
        <v>5.3780999999999999</v>
      </c>
      <c r="AG35" s="152">
        <v>2.5918999999999999</v>
      </c>
    </row>
    <row r="36" spans="1:33" x14ac:dyDescent="0.25">
      <c r="A36" s="99">
        <f t="shared" si="4"/>
        <v>35</v>
      </c>
      <c r="B36" s="8">
        <v>1</v>
      </c>
      <c r="C36" s="8">
        <v>10.3088</v>
      </c>
      <c r="D36" s="8">
        <v>6.0640000000000001</v>
      </c>
      <c r="E36" s="8">
        <v>0</v>
      </c>
      <c r="F36" s="8">
        <v>0</v>
      </c>
      <c r="G36" s="8">
        <v>1</v>
      </c>
      <c r="H36" s="8">
        <v>1</v>
      </c>
      <c r="I36" s="8">
        <v>0</v>
      </c>
      <c r="J36" s="6">
        <v>22</v>
      </c>
      <c r="K36" s="8">
        <v>1</v>
      </c>
      <c r="L36" s="7">
        <v>1.05</v>
      </c>
      <c r="M36" s="100">
        <v>0.95</v>
      </c>
      <c r="N36" s="5" t="s">
        <v>145</v>
      </c>
      <c r="O36" s="57"/>
      <c r="P36" s="58"/>
      <c r="Q36" s="12">
        <v>103.72054166666666</v>
      </c>
      <c r="R36" s="12">
        <v>1.2862083333333332</v>
      </c>
      <c r="S36" s="137" t="s">
        <v>929</v>
      </c>
      <c r="T36" s="137">
        <v>3</v>
      </c>
      <c r="U36" s="151">
        <v>12</v>
      </c>
      <c r="V36" s="93">
        <f t="shared" si="1"/>
        <v>10.343210581893235</v>
      </c>
      <c r="W36" s="93">
        <f t="shared" si="2"/>
        <v>6.0842415187607255</v>
      </c>
      <c r="X36" s="93">
        <f t="shared" si="5"/>
        <v>0.86193421515776958</v>
      </c>
      <c r="Z36" s="8">
        <v>1.700000092</v>
      </c>
      <c r="AA36" s="8">
        <v>0.99999997799999996</v>
      </c>
      <c r="AC36" s="151">
        <v>12</v>
      </c>
      <c r="AD36" s="8">
        <f t="shared" si="3"/>
        <v>11.76</v>
      </c>
      <c r="AF36" s="152">
        <v>10.3088</v>
      </c>
      <c r="AG36" s="152">
        <v>6.0640000000000001</v>
      </c>
    </row>
    <row r="37" spans="1:33" x14ac:dyDescent="0.25">
      <c r="A37" s="99">
        <f t="shared" si="4"/>
        <v>36</v>
      </c>
      <c r="B37" s="8">
        <v>1</v>
      </c>
      <c r="C37" s="8">
        <v>0</v>
      </c>
      <c r="D37" s="8">
        <v>0</v>
      </c>
      <c r="E37" s="8">
        <v>0</v>
      </c>
      <c r="F37" s="8">
        <v>0</v>
      </c>
      <c r="G37" s="8">
        <v>1</v>
      </c>
      <c r="H37" s="8">
        <v>1</v>
      </c>
      <c r="I37" s="8">
        <v>0</v>
      </c>
      <c r="J37" s="6">
        <v>22</v>
      </c>
      <c r="K37" s="8">
        <v>1</v>
      </c>
      <c r="L37" s="7">
        <v>1.05</v>
      </c>
      <c r="M37" s="100">
        <v>0.95</v>
      </c>
      <c r="N37" s="5" t="s">
        <v>150</v>
      </c>
      <c r="O37" s="57"/>
      <c r="P37" s="58"/>
      <c r="Q37" s="12">
        <v>103.72033333333333</v>
      </c>
      <c r="R37" s="12">
        <v>1.2867999999999999</v>
      </c>
      <c r="S37" s="139"/>
      <c r="T37" s="139">
        <v>0</v>
      </c>
      <c r="U37" s="151">
        <v>0</v>
      </c>
      <c r="V37" s="93">
        <f t="shared" si="1"/>
        <v>0</v>
      </c>
      <c r="W37" s="93">
        <f t="shared" si="2"/>
        <v>0</v>
      </c>
      <c r="X37" s="93">
        <f t="shared" si="5"/>
        <v>0</v>
      </c>
      <c r="Z37" s="8">
        <v>0</v>
      </c>
      <c r="AA37" s="8">
        <v>0</v>
      </c>
      <c r="AC37" s="151">
        <v>0</v>
      </c>
      <c r="AD37" s="8">
        <f t="shared" si="3"/>
        <v>0</v>
      </c>
      <c r="AF37" s="152">
        <v>0</v>
      </c>
      <c r="AG37" s="152">
        <v>0</v>
      </c>
    </row>
    <row r="38" spans="1:33" x14ac:dyDescent="0.25">
      <c r="A38" s="99">
        <f t="shared" si="4"/>
        <v>37</v>
      </c>
      <c r="B38" s="8">
        <v>1</v>
      </c>
      <c r="C38" s="8">
        <v>1.1402000000000001</v>
      </c>
      <c r="D38" s="8">
        <v>0.78639999999999999</v>
      </c>
      <c r="E38" s="8">
        <v>0</v>
      </c>
      <c r="F38" s="8">
        <v>0</v>
      </c>
      <c r="G38" s="8">
        <v>1</v>
      </c>
      <c r="H38" s="8">
        <v>1</v>
      </c>
      <c r="I38" s="8">
        <v>0</v>
      </c>
      <c r="J38" s="6">
        <v>22</v>
      </c>
      <c r="K38" s="8">
        <v>1</v>
      </c>
      <c r="L38" s="7">
        <v>1.05</v>
      </c>
      <c r="M38" s="100">
        <v>0.95</v>
      </c>
      <c r="N38" s="5" t="s">
        <v>164</v>
      </c>
      <c r="O38" s="57"/>
      <c r="P38" s="58"/>
      <c r="Q38" s="12">
        <v>103.71978333333334</v>
      </c>
      <c r="R38" s="12">
        <v>1.2895666666666665</v>
      </c>
      <c r="S38" s="133" t="s">
        <v>935</v>
      </c>
      <c r="T38" s="133">
        <v>4</v>
      </c>
      <c r="U38" s="151">
        <v>2</v>
      </c>
      <c r="V38" s="93">
        <f t="shared" si="1"/>
        <v>1.6463883378244886</v>
      </c>
      <c r="W38" s="93">
        <f t="shared" si="2"/>
        <v>1.1355198990222575</v>
      </c>
      <c r="X38" s="93">
        <f t="shared" si="5"/>
        <v>0.82319416891224428</v>
      </c>
      <c r="Z38" s="8">
        <v>1.449999958</v>
      </c>
      <c r="AA38" s="8">
        <v>0.99999997799999996</v>
      </c>
      <c r="AC38" s="151">
        <v>2</v>
      </c>
      <c r="AD38" s="8">
        <f t="shared" si="3"/>
        <v>1.96</v>
      </c>
      <c r="AF38" s="152">
        <v>1.1402000000000001</v>
      </c>
      <c r="AG38" s="152">
        <v>0.78639999999999999</v>
      </c>
    </row>
    <row r="39" spans="1:33" x14ac:dyDescent="0.25">
      <c r="A39" s="99">
        <f t="shared" si="4"/>
        <v>38</v>
      </c>
      <c r="B39" s="8">
        <v>1</v>
      </c>
      <c r="C39" s="8">
        <v>4.7294</v>
      </c>
      <c r="D39" s="8">
        <v>2.4171</v>
      </c>
      <c r="E39" s="8">
        <v>0</v>
      </c>
      <c r="F39" s="8">
        <v>0</v>
      </c>
      <c r="G39" s="8">
        <v>1</v>
      </c>
      <c r="H39" s="8">
        <v>1</v>
      </c>
      <c r="I39" s="8">
        <v>0</v>
      </c>
      <c r="J39" s="6">
        <v>22</v>
      </c>
      <c r="K39" s="8">
        <v>1</v>
      </c>
      <c r="L39" s="7">
        <v>1.05</v>
      </c>
      <c r="M39" s="100">
        <v>0.95</v>
      </c>
      <c r="N39" s="5" t="s">
        <v>168</v>
      </c>
      <c r="O39" s="57"/>
      <c r="P39" s="58"/>
      <c r="Q39" s="12">
        <v>103.72051666666667</v>
      </c>
      <c r="R39" s="12">
        <v>1.2885833333333334</v>
      </c>
      <c r="S39" s="133" t="s">
        <v>935</v>
      </c>
      <c r="T39" s="133">
        <v>4</v>
      </c>
      <c r="U39" s="151">
        <v>6</v>
      </c>
      <c r="V39" s="93">
        <f t="shared" si="1"/>
        <v>5.3426762522929314</v>
      </c>
      <c r="W39" s="93">
        <f t="shared" si="2"/>
        <v>2.7305329998344932</v>
      </c>
      <c r="X39" s="93">
        <f t="shared" si="5"/>
        <v>0.89044604204882194</v>
      </c>
      <c r="Z39" s="8">
        <v>5.8699998999999998</v>
      </c>
      <c r="AA39" s="8">
        <v>2.9999999329999998</v>
      </c>
      <c r="AC39" s="151">
        <v>6</v>
      </c>
      <c r="AD39" s="8">
        <f t="shared" si="3"/>
        <v>5.88</v>
      </c>
      <c r="AF39" s="152">
        <v>4.7294</v>
      </c>
      <c r="AG39" s="152">
        <v>2.4171</v>
      </c>
    </row>
    <row r="40" spans="1:33" x14ac:dyDescent="0.25">
      <c r="A40" s="99">
        <f t="shared" si="4"/>
        <v>39</v>
      </c>
      <c r="B40" s="8">
        <v>1</v>
      </c>
      <c r="C40" s="8">
        <v>0.54679999999999995</v>
      </c>
      <c r="D40" s="8">
        <v>0.31609999999999999</v>
      </c>
      <c r="E40" s="8">
        <v>0</v>
      </c>
      <c r="F40" s="8">
        <v>0</v>
      </c>
      <c r="G40" s="8">
        <v>1</v>
      </c>
      <c r="H40" s="8">
        <v>1</v>
      </c>
      <c r="I40" s="8">
        <v>0</v>
      </c>
      <c r="J40" s="6">
        <v>22</v>
      </c>
      <c r="K40" s="8">
        <v>1</v>
      </c>
      <c r="L40" s="7">
        <v>1.05</v>
      </c>
      <c r="M40" s="100">
        <v>0.95</v>
      </c>
      <c r="N40" s="5" t="s">
        <v>169</v>
      </c>
      <c r="O40" s="57"/>
      <c r="P40" s="58"/>
      <c r="Q40" s="12">
        <v>103.72088333333333</v>
      </c>
      <c r="R40" s="12">
        <v>1.2877333333333334</v>
      </c>
      <c r="S40" s="133" t="s">
        <v>935</v>
      </c>
      <c r="T40" s="133">
        <v>4</v>
      </c>
      <c r="U40" s="151">
        <v>1</v>
      </c>
      <c r="V40" s="93">
        <f t="shared" si="1"/>
        <v>0.86574769422425846</v>
      </c>
      <c r="W40" s="93">
        <f t="shared" si="2"/>
        <v>0.5004806988739724</v>
      </c>
      <c r="X40" s="93">
        <f t="shared" si="5"/>
        <v>0.86574769422425846</v>
      </c>
      <c r="Z40" s="8">
        <v>3.4600000830000002</v>
      </c>
      <c r="AA40" s="8">
        <v>1.9999999550000001</v>
      </c>
      <c r="AC40" s="151">
        <v>1</v>
      </c>
      <c r="AD40" s="8">
        <f t="shared" si="3"/>
        <v>0.98</v>
      </c>
      <c r="AF40" s="152">
        <v>0.54679999999999995</v>
      </c>
      <c r="AG40" s="152">
        <v>0.31609999999999999</v>
      </c>
    </row>
    <row r="41" spans="1:33" x14ac:dyDescent="0.25">
      <c r="A41" s="99">
        <f t="shared" si="4"/>
        <v>40</v>
      </c>
      <c r="B41" s="8">
        <v>1</v>
      </c>
      <c r="C41" s="8">
        <v>2.8469000000000002</v>
      </c>
      <c r="D41" s="8">
        <v>1.2801</v>
      </c>
      <c r="E41" s="8">
        <v>0</v>
      </c>
      <c r="F41" s="8">
        <v>0</v>
      </c>
      <c r="G41" s="8">
        <v>1</v>
      </c>
      <c r="H41" s="8">
        <v>1</v>
      </c>
      <c r="I41" s="8">
        <v>0</v>
      </c>
      <c r="J41" s="6">
        <v>22</v>
      </c>
      <c r="K41" s="8">
        <v>1</v>
      </c>
      <c r="L41" s="7">
        <v>1.05</v>
      </c>
      <c r="M41" s="100">
        <v>0.95</v>
      </c>
      <c r="N41" s="5" t="s">
        <v>182</v>
      </c>
      <c r="O41" s="57"/>
      <c r="P41" s="58"/>
      <c r="Q41" s="12">
        <v>103.72088333333333</v>
      </c>
      <c r="R41" s="12">
        <v>1.2866</v>
      </c>
      <c r="S41" s="133" t="s">
        <v>935</v>
      </c>
      <c r="T41" s="133">
        <v>4</v>
      </c>
      <c r="U41" s="151">
        <v>5</v>
      </c>
      <c r="V41" s="93">
        <f t="shared" si="1"/>
        <v>4.5602097586610348</v>
      </c>
      <c r="W41" s="93">
        <f t="shared" si="2"/>
        <v>2.050484566392214</v>
      </c>
      <c r="X41" s="93">
        <f t="shared" si="5"/>
        <v>0.91204195173220703</v>
      </c>
      <c r="Z41" s="8">
        <v>5.5599998680000002</v>
      </c>
      <c r="AA41" s="8">
        <v>2.500000037</v>
      </c>
      <c r="AC41" s="151">
        <v>5</v>
      </c>
      <c r="AD41" s="8">
        <f t="shared" si="3"/>
        <v>4.9000000000000004</v>
      </c>
      <c r="AF41" s="152">
        <v>2.8469000000000002</v>
      </c>
      <c r="AG41" s="152">
        <v>1.2801</v>
      </c>
    </row>
    <row r="42" spans="1:33" x14ac:dyDescent="0.25">
      <c r="A42" s="99">
        <f t="shared" si="4"/>
        <v>41</v>
      </c>
      <c r="B42" s="8">
        <v>1</v>
      </c>
      <c r="C42" s="8">
        <v>1.6082000000000001</v>
      </c>
      <c r="D42" s="8">
        <v>0.77890000000000004</v>
      </c>
      <c r="E42" s="8">
        <v>0</v>
      </c>
      <c r="F42" s="8">
        <v>0</v>
      </c>
      <c r="G42" s="8">
        <v>1</v>
      </c>
      <c r="H42" s="8">
        <v>1</v>
      </c>
      <c r="I42" s="8">
        <v>0</v>
      </c>
      <c r="J42" s="6">
        <v>22</v>
      </c>
      <c r="K42" s="8">
        <v>1</v>
      </c>
      <c r="L42" s="7">
        <v>1.05</v>
      </c>
      <c r="M42" s="100">
        <v>0.95</v>
      </c>
      <c r="N42" s="5" t="s">
        <v>194</v>
      </c>
      <c r="O42" s="57"/>
      <c r="P42" s="58"/>
      <c r="Q42" s="12">
        <v>103.71865</v>
      </c>
      <c r="R42" s="12">
        <v>1.2902499999999999</v>
      </c>
      <c r="S42" s="149"/>
      <c r="T42" s="149">
        <v>1</v>
      </c>
      <c r="U42" s="151">
        <v>2</v>
      </c>
      <c r="V42" s="93">
        <f t="shared" si="1"/>
        <v>1.8</v>
      </c>
      <c r="W42" s="93">
        <f t="shared" si="2"/>
        <v>0.87177978870813455</v>
      </c>
      <c r="X42" s="93">
        <v>0.9</v>
      </c>
      <c r="Z42" s="8">
        <v>0</v>
      </c>
      <c r="AA42" s="8">
        <v>0</v>
      </c>
      <c r="AC42" s="151">
        <v>2</v>
      </c>
      <c r="AD42" s="8">
        <f t="shared" si="3"/>
        <v>1.96</v>
      </c>
      <c r="AF42" s="152">
        <v>1.6082000000000001</v>
      </c>
      <c r="AG42" s="152">
        <v>0.77890000000000004</v>
      </c>
    </row>
    <row r="43" spans="1:33" x14ac:dyDescent="0.25">
      <c r="A43" s="99">
        <f t="shared" si="4"/>
        <v>42</v>
      </c>
      <c r="B43" s="8">
        <v>1</v>
      </c>
      <c r="C43" s="8">
        <v>0</v>
      </c>
      <c r="D43" s="8">
        <v>0</v>
      </c>
      <c r="E43" s="8">
        <v>0</v>
      </c>
      <c r="F43" s="8">
        <v>0</v>
      </c>
      <c r="G43" s="8">
        <v>1</v>
      </c>
      <c r="H43" s="8">
        <v>1</v>
      </c>
      <c r="I43" s="8">
        <v>0</v>
      </c>
      <c r="J43" s="6">
        <v>22</v>
      </c>
      <c r="K43" s="8">
        <v>1</v>
      </c>
      <c r="L43" s="7">
        <v>1.05</v>
      </c>
      <c r="M43" s="100">
        <v>0.95</v>
      </c>
      <c r="N43" s="5" t="s">
        <v>195</v>
      </c>
      <c r="O43" s="57"/>
      <c r="P43" s="58"/>
      <c r="Q43" s="12">
        <v>103.7176</v>
      </c>
      <c r="R43" s="12">
        <v>1.2897666666666667</v>
      </c>
      <c r="S43" s="139"/>
      <c r="T43" s="139">
        <v>0</v>
      </c>
      <c r="U43" s="151">
        <v>0</v>
      </c>
      <c r="V43" s="93">
        <f t="shared" si="1"/>
        <v>0</v>
      </c>
      <c r="W43" s="93">
        <f t="shared" si="2"/>
        <v>0</v>
      </c>
      <c r="X43" s="93">
        <v>0.85</v>
      </c>
      <c r="Z43" s="8">
        <v>0</v>
      </c>
      <c r="AA43" s="8">
        <v>0</v>
      </c>
      <c r="AC43" s="151">
        <v>0</v>
      </c>
      <c r="AD43" s="8">
        <f t="shared" si="3"/>
        <v>0</v>
      </c>
      <c r="AF43" s="152">
        <v>0</v>
      </c>
      <c r="AG43" s="152">
        <v>0</v>
      </c>
    </row>
    <row r="44" spans="1:33" x14ac:dyDescent="0.25">
      <c r="A44" s="99">
        <f t="shared" si="4"/>
        <v>43</v>
      </c>
      <c r="B44" s="8">
        <v>1</v>
      </c>
      <c r="C44" s="8">
        <v>2.1945999999999999</v>
      </c>
      <c r="D44" s="8">
        <v>1.3601000000000001</v>
      </c>
      <c r="E44" s="8">
        <v>0</v>
      </c>
      <c r="F44" s="8">
        <v>0</v>
      </c>
      <c r="G44" s="8">
        <v>1</v>
      </c>
      <c r="H44" s="8">
        <v>1</v>
      </c>
      <c r="I44" s="8">
        <v>0</v>
      </c>
      <c r="J44" s="6">
        <v>22</v>
      </c>
      <c r="K44" s="8">
        <v>1</v>
      </c>
      <c r="L44" s="7">
        <v>1.05</v>
      </c>
      <c r="M44" s="100">
        <v>0.95</v>
      </c>
      <c r="N44" s="5" t="s">
        <v>219</v>
      </c>
      <c r="O44" s="57"/>
      <c r="P44" s="58"/>
      <c r="Q44" s="12">
        <v>103.7135</v>
      </c>
      <c r="R44" s="12">
        <v>1.2907166666666667</v>
      </c>
      <c r="S44" s="149"/>
      <c r="T44" s="149">
        <v>1</v>
      </c>
      <c r="U44" s="151">
        <v>3</v>
      </c>
      <c r="V44" s="93">
        <f t="shared" si="1"/>
        <v>2.5499999999999998</v>
      </c>
      <c r="W44" s="93">
        <f t="shared" si="2"/>
        <v>1.580348062927911</v>
      </c>
      <c r="X44" s="93">
        <v>0.85</v>
      </c>
      <c r="Z44" s="8">
        <v>0</v>
      </c>
      <c r="AA44" s="8">
        <v>0</v>
      </c>
      <c r="AC44" s="151">
        <v>3</v>
      </c>
      <c r="AD44" s="8">
        <f t="shared" si="3"/>
        <v>2.94</v>
      </c>
      <c r="AF44" s="152">
        <v>2.1945999999999999</v>
      </c>
      <c r="AG44" s="152">
        <v>1.3601000000000001</v>
      </c>
    </row>
    <row r="45" spans="1:33" x14ac:dyDescent="0.25">
      <c r="A45" s="99">
        <f t="shared" si="4"/>
        <v>44</v>
      </c>
      <c r="B45" s="8">
        <v>1</v>
      </c>
      <c r="C45" s="8">
        <v>1.6541999999999999</v>
      </c>
      <c r="D45" s="8">
        <v>0.91900000000000004</v>
      </c>
      <c r="E45" s="8">
        <v>0</v>
      </c>
      <c r="F45" s="8">
        <v>0</v>
      </c>
      <c r="G45" s="8">
        <v>1</v>
      </c>
      <c r="H45" s="8">
        <v>1</v>
      </c>
      <c r="I45" s="8">
        <v>0</v>
      </c>
      <c r="J45" s="105">
        <v>230</v>
      </c>
      <c r="K45" s="8">
        <v>1</v>
      </c>
      <c r="L45" s="7">
        <v>1.05</v>
      </c>
      <c r="M45" s="100">
        <v>0.95</v>
      </c>
      <c r="N45" s="5" t="s">
        <v>235</v>
      </c>
      <c r="O45" s="57"/>
      <c r="P45" s="58"/>
      <c r="Q45" s="12">
        <v>103.70954999999999</v>
      </c>
      <c r="R45" s="12">
        <v>1.2911666666666666</v>
      </c>
      <c r="S45" s="137" t="s">
        <v>932</v>
      </c>
      <c r="T45" s="137">
        <v>3</v>
      </c>
      <c r="U45" s="151">
        <v>2</v>
      </c>
      <c r="V45" s="93">
        <f t="shared" si="1"/>
        <v>1.7483145522430756</v>
      </c>
      <c r="W45" s="93">
        <f t="shared" si="2"/>
        <v>0.97128586235726411</v>
      </c>
      <c r="X45" s="93">
        <f t="shared" si="5"/>
        <v>0.87415727612153782</v>
      </c>
      <c r="Z45" s="8">
        <v>0.89999996100000001</v>
      </c>
      <c r="AA45" s="8">
        <v>0.49999998899999998</v>
      </c>
      <c r="AC45" s="151">
        <v>2</v>
      </c>
      <c r="AD45" s="8">
        <f t="shared" si="3"/>
        <v>1.96</v>
      </c>
      <c r="AF45" s="152">
        <v>1.6541999999999999</v>
      </c>
      <c r="AG45" s="152">
        <v>0.91900000000000004</v>
      </c>
    </row>
    <row r="46" spans="1:33" x14ac:dyDescent="0.25">
      <c r="A46" s="99">
        <f t="shared" si="4"/>
        <v>45</v>
      </c>
      <c r="B46" s="8">
        <v>1</v>
      </c>
      <c r="C46" s="8">
        <v>175.21360000000001</v>
      </c>
      <c r="D46" s="8">
        <v>81.318200000000004</v>
      </c>
      <c r="E46" s="8">
        <v>0</v>
      </c>
      <c r="F46" s="8">
        <v>0</v>
      </c>
      <c r="G46" s="8">
        <v>1</v>
      </c>
      <c r="H46" s="8">
        <v>1</v>
      </c>
      <c r="I46" s="8">
        <v>0</v>
      </c>
      <c r="J46" s="105">
        <v>230</v>
      </c>
      <c r="K46" s="8">
        <v>1</v>
      </c>
      <c r="L46" s="7">
        <v>1.05</v>
      </c>
      <c r="M46" s="100">
        <v>0.95</v>
      </c>
      <c r="N46" s="5" t="s">
        <v>240</v>
      </c>
      <c r="O46" s="57"/>
      <c r="P46" s="58"/>
      <c r="Q46" s="12">
        <v>103.7111</v>
      </c>
      <c r="R46" s="12">
        <v>1.2901333333333334</v>
      </c>
      <c r="S46" s="137" t="s">
        <v>932</v>
      </c>
      <c r="T46" s="137">
        <v>3</v>
      </c>
      <c r="U46" s="151">
        <v>200</v>
      </c>
      <c r="V46" s="93">
        <f t="shared" si="1"/>
        <v>181.41403984648352</v>
      </c>
      <c r="W46" s="93">
        <f t="shared" si="2"/>
        <v>84.195879629459853</v>
      </c>
      <c r="X46" s="93">
        <f t="shared" si="5"/>
        <v>0.90707019923241761</v>
      </c>
      <c r="Z46" s="8">
        <v>129.27999500000001</v>
      </c>
      <c r="AA46" s="8">
        <v>60.000002379999998</v>
      </c>
      <c r="AC46" s="151">
        <v>200</v>
      </c>
      <c r="AD46" s="8">
        <f t="shared" si="3"/>
        <v>196</v>
      </c>
      <c r="AF46" s="152">
        <v>175.21360000000001</v>
      </c>
      <c r="AG46" s="152">
        <v>81.318200000000004</v>
      </c>
    </row>
    <row r="47" spans="1:33" x14ac:dyDescent="0.25">
      <c r="A47" s="99">
        <f t="shared" si="4"/>
        <v>46</v>
      </c>
      <c r="B47" s="8">
        <v>1</v>
      </c>
      <c r="C47" s="8">
        <v>3.2147999999999999</v>
      </c>
      <c r="D47" s="8">
        <v>1.6021000000000001</v>
      </c>
      <c r="E47" s="8">
        <v>0</v>
      </c>
      <c r="F47" s="8">
        <v>0</v>
      </c>
      <c r="G47" s="8">
        <v>1</v>
      </c>
      <c r="H47" s="8">
        <v>1</v>
      </c>
      <c r="I47" s="8">
        <v>0</v>
      </c>
      <c r="J47" s="6">
        <v>22</v>
      </c>
      <c r="K47" s="8">
        <v>1</v>
      </c>
      <c r="L47" s="7">
        <v>1.05</v>
      </c>
      <c r="M47" s="100">
        <v>0.95</v>
      </c>
      <c r="N47" s="5" t="s">
        <v>84</v>
      </c>
      <c r="O47" s="57"/>
      <c r="P47" s="58"/>
      <c r="Q47" s="12">
        <v>103.72301666666667</v>
      </c>
      <c r="R47" s="12">
        <v>1.2751000000000001</v>
      </c>
      <c r="S47" s="136" t="s">
        <v>933</v>
      </c>
      <c r="T47" s="136">
        <v>1</v>
      </c>
      <c r="U47" s="151">
        <v>4</v>
      </c>
      <c r="V47" s="93">
        <f t="shared" si="1"/>
        <v>3.5800665232126607</v>
      </c>
      <c r="W47" s="93">
        <f t="shared" si="2"/>
        <v>1.7841310740447329</v>
      </c>
      <c r="X47" s="93">
        <f t="shared" si="5"/>
        <v>0.89501663080316518</v>
      </c>
      <c r="Z47" s="8">
        <v>3.0099999159999999</v>
      </c>
      <c r="AA47" s="8">
        <v>1.4999999660000001</v>
      </c>
      <c r="AC47" s="151">
        <v>4</v>
      </c>
      <c r="AD47" s="8">
        <f t="shared" si="3"/>
        <v>3.92</v>
      </c>
      <c r="AF47" s="152">
        <v>3.2147999999999999</v>
      </c>
      <c r="AG47" s="152">
        <v>1.6021000000000001</v>
      </c>
    </row>
    <row r="48" spans="1:33" x14ac:dyDescent="0.25">
      <c r="A48" s="99">
        <f t="shared" si="4"/>
        <v>47</v>
      </c>
      <c r="B48" s="8">
        <v>1</v>
      </c>
      <c r="C48" s="8">
        <v>0</v>
      </c>
      <c r="D48" s="8">
        <v>0</v>
      </c>
      <c r="E48" s="8">
        <v>0</v>
      </c>
      <c r="F48" s="8">
        <v>0</v>
      </c>
      <c r="G48" s="8">
        <v>1</v>
      </c>
      <c r="H48" s="8">
        <v>1</v>
      </c>
      <c r="I48" s="8">
        <v>0</v>
      </c>
      <c r="J48" s="6">
        <v>22</v>
      </c>
      <c r="K48" s="8">
        <v>1</v>
      </c>
      <c r="L48" s="7">
        <v>1.05</v>
      </c>
      <c r="M48" s="100">
        <v>0.95</v>
      </c>
      <c r="N48" s="5" t="s">
        <v>85</v>
      </c>
      <c r="O48" s="57"/>
      <c r="P48" s="58"/>
      <c r="Q48" s="12">
        <v>103.72225</v>
      </c>
      <c r="R48" s="12">
        <v>1.2759333333333334</v>
      </c>
      <c r="S48" s="139"/>
      <c r="T48" s="139">
        <v>0</v>
      </c>
      <c r="U48" s="151">
        <v>0</v>
      </c>
      <c r="V48" s="93">
        <f t="shared" si="1"/>
        <v>0</v>
      </c>
      <c r="W48" s="93">
        <f t="shared" si="2"/>
        <v>0</v>
      </c>
      <c r="X48" s="93">
        <f t="shared" si="5"/>
        <v>0</v>
      </c>
      <c r="Z48" s="8">
        <v>0</v>
      </c>
      <c r="AA48" s="8">
        <v>0</v>
      </c>
      <c r="AC48" s="151">
        <v>0</v>
      </c>
      <c r="AD48" s="8">
        <f t="shared" si="3"/>
        <v>0</v>
      </c>
      <c r="AF48" s="152">
        <v>0</v>
      </c>
      <c r="AG48" s="152">
        <v>0</v>
      </c>
    </row>
    <row r="49" spans="1:33" x14ac:dyDescent="0.25">
      <c r="A49" s="99">
        <f t="shared" si="4"/>
        <v>48</v>
      </c>
      <c r="B49" s="8">
        <v>1</v>
      </c>
      <c r="C49" s="8">
        <v>2.4746000000000001</v>
      </c>
      <c r="D49" s="8">
        <v>1.2317</v>
      </c>
      <c r="E49" s="8">
        <v>0</v>
      </c>
      <c r="F49" s="8">
        <v>0</v>
      </c>
      <c r="G49" s="8">
        <v>1</v>
      </c>
      <c r="H49" s="8">
        <v>1</v>
      </c>
      <c r="I49" s="8">
        <v>0</v>
      </c>
      <c r="J49" s="6">
        <v>22</v>
      </c>
      <c r="K49" s="8">
        <v>1</v>
      </c>
      <c r="L49" s="7">
        <v>1.05</v>
      </c>
      <c r="M49" s="100">
        <v>0.95</v>
      </c>
      <c r="N49" s="5" t="s">
        <v>86</v>
      </c>
      <c r="O49" s="57"/>
      <c r="P49" s="58"/>
      <c r="Q49" s="12">
        <v>103.72183333333334</v>
      </c>
      <c r="R49" s="12">
        <v>1.2763833333333334</v>
      </c>
      <c r="S49" s="136" t="s">
        <v>934</v>
      </c>
      <c r="T49" s="136">
        <v>1</v>
      </c>
      <c r="U49" s="151">
        <v>3</v>
      </c>
      <c r="V49" s="93">
        <f t="shared" si="1"/>
        <v>2.6857082623011834</v>
      </c>
      <c r="W49" s="93">
        <f t="shared" si="2"/>
        <v>1.3367763948421432</v>
      </c>
      <c r="X49" s="93">
        <f t="shared" si="5"/>
        <v>0.89523608743372785</v>
      </c>
      <c r="Z49" s="8">
        <v>2.2099999709999998</v>
      </c>
      <c r="AA49" s="8">
        <v>1.099999994</v>
      </c>
      <c r="AC49" s="151">
        <v>3</v>
      </c>
      <c r="AD49" s="8">
        <f t="shared" si="3"/>
        <v>2.94</v>
      </c>
      <c r="AF49" s="152">
        <v>2.4746000000000001</v>
      </c>
      <c r="AG49" s="152">
        <v>1.2317</v>
      </c>
    </row>
    <row r="50" spans="1:33" x14ac:dyDescent="0.25">
      <c r="A50" s="99">
        <f t="shared" si="4"/>
        <v>49</v>
      </c>
      <c r="B50" s="8">
        <v>1</v>
      </c>
      <c r="C50" s="8">
        <v>0</v>
      </c>
      <c r="D50" s="8">
        <v>0</v>
      </c>
      <c r="E50" s="8">
        <v>0</v>
      </c>
      <c r="F50" s="8">
        <v>0</v>
      </c>
      <c r="G50" s="8">
        <v>1</v>
      </c>
      <c r="H50" s="8">
        <v>1</v>
      </c>
      <c r="I50" s="8">
        <v>0</v>
      </c>
      <c r="J50" s="6">
        <v>22</v>
      </c>
      <c r="K50" s="8">
        <v>1</v>
      </c>
      <c r="L50" s="7">
        <v>1.05</v>
      </c>
      <c r="M50" s="100">
        <v>0.95</v>
      </c>
      <c r="N50" s="5" t="s">
        <v>87</v>
      </c>
      <c r="O50" s="57"/>
      <c r="P50" s="58"/>
      <c r="Q50" s="12">
        <v>103.721</v>
      </c>
      <c r="R50" s="12">
        <v>1.27715</v>
      </c>
      <c r="S50" s="139"/>
      <c r="T50" s="139">
        <v>0</v>
      </c>
      <c r="U50" s="151">
        <v>0</v>
      </c>
      <c r="V50" s="93">
        <f t="shared" si="1"/>
        <v>0</v>
      </c>
      <c r="W50" s="93">
        <f t="shared" si="2"/>
        <v>0</v>
      </c>
      <c r="X50" s="93">
        <f t="shared" si="5"/>
        <v>0</v>
      </c>
      <c r="Z50" s="8">
        <v>0</v>
      </c>
      <c r="AA50" s="8">
        <v>0</v>
      </c>
      <c r="AC50" s="151">
        <v>0</v>
      </c>
      <c r="AD50" s="8">
        <f t="shared" si="3"/>
        <v>0</v>
      </c>
      <c r="AF50" s="152">
        <v>0</v>
      </c>
      <c r="AG50" s="152">
        <v>0</v>
      </c>
    </row>
    <row r="51" spans="1:33" x14ac:dyDescent="0.25">
      <c r="A51" s="99">
        <f t="shared" si="4"/>
        <v>50</v>
      </c>
      <c r="B51" s="8">
        <v>1</v>
      </c>
      <c r="C51" s="8">
        <v>0</v>
      </c>
      <c r="D51" s="8">
        <v>0</v>
      </c>
      <c r="E51" s="8">
        <v>0</v>
      </c>
      <c r="F51" s="8">
        <v>0</v>
      </c>
      <c r="G51" s="8">
        <v>1</v>
      </c>
      <c r="H51" s="8">
        <v>1</v>
      </c>
      <c r="I51" s="8">
        <v>0</v>
      </c>
      <c r="J51" s="6">
        <v>22</v>
      </c>
      <c r="K51" s="8">
        <v>1</v>
      </c>
      <c r="L51" s="7">
        <v>1.05</v>
      </c>
      <c r="M51" s="100">
        <v>0.95</v>
      </c>
      <c r="N51" s="5" t="s">
        <v>88</v>
      </c>
      <c r="O51" s="57"/>
      <c r="P51" s="58"/>
      <c r="Q51" s="12">
        <v>103.71891666666667</v>
      </c>
      <c r="R51" s="12">
        <v>1.2792666666666666</v>
      </c>
      <c r="S51" s="139"/>
      <c r="T51" s="139">
        <v>0</v>
      </c>
      <c r="U51" s="151">
        <v>0</v>
      </c>
      <c r="V51" s="93">
        <f t="shared" si="1"/>
        <v>0</v>
      </c>
      <c r="W51" s="93">
        <f t="shared" si="2"/>
        <v>0</v>
      </c>
      <c r="X51" s="93">
        <f t="shared" si="5"/>
        <v>0</v>
      </c>
      <c r="Z51" s="8">
        <v>0</v>
      </c>
      <c r="AA51" s="8">
        <v>0</v>
      </c>
      <c r="AC51" s="151">
        <v>0</v>
      </c>
      <c r="AD51" s="8">
        <f t="shared" si="3"/>
        <v>0</v>
      </c>
      <c r="AF51" s="152">
        <v>0</v>
      </c>
      <c r="AG51" s="152">
        <v>0</v>
      </c>
    </row>
    <row r="52" spans="1:33" x14ac:dyDescent="0.25">
      <c r="A52" s="99">
        <f t="shared" si="4"/>
        <v>51</v>
      </c>
      <c r="B52" s="8">
        <v>1</v>
      </c>
      <c r="C52" s="8">
        <v>7.9489999999999998</v>
      </c>
      <c r="D52" s="8">
        <v>3.1415999999999999</v>
      </c>
      <c r="E52" s="8">
        <v>0</v>
      </c>
      <c r="F52" s="8">
        <v>0</v>
      </c>
      <c r="G52" s="8">
        <v>1</v>
      </c>
      <c r="H52" s="8">
        <v>1</v>
      </c>
      <c r="I52" s="8">
        <v>0</v>
      </c>
      <c r="J52" s="6">
        <v>22</v>
      </c>
      <c r="K52" s="8">
        <v>1</v>
      </c>
      <c r="L52" s="7">
        <v>1.05</v>
      </c>
      <c r="M52" s="100">
        <v>0.95</v>
      </c>
      <c r="N52" s="5" t="s">
        <v>89</v>
      </c>
      <c r="O52" s="57"/>
      <c r="P52" s="58"/>
      <c r="Q52" s="12">
        <v>103.71925</v>
      </c>
      <c r="R52" s="12">
        <v>1.2796833333333333</v>
      </c>
      <c r="S52" s="133" t="s">
        <v>935</v>
      </c>
      <c r="T52" s="133">
        <v>4</v>
      </c>
      <c r="U52" s="151">
        <v>10</v>
      </c>
      <c r="V52" s="93">
        <f t="shared" si="1"/>
        <v>9.3000000000000007</v>
      </c>
      <c r="W52" s="93">
        <f t="shared" si="2"/>
        <v>3.6755951898978201</v>
      </c>
      <c r="X52" s="93">
        <v>0.93</v>
      </c>
      <c r="Z52" s="8">
        <v>3.2000001519999999</v>
      </c>
      <c r="AA52" s="8">
        <v>1.6000000759999999</v>
      </c>
      <c r="AC52" s="151">
        <v>10</v>
      </c>
      <c r="AD52" s="8">
        <f t="shared" si="3"/>
        <v>9.8000000000000007</v>
      </c>
      <c r="AF52" s="152">
        <v>7.9489999999999998</v>
      </c>
      <c r="AG52" s="152">
        <v>3.1415999999999999</v>
      </c>
    </row>
    <row r="53" spans="1:33" x14ac:dyDescent="0.25">
      <c r="A53" s="99">
        <f t="shared" si="4"/>
        <v>52</v>
      </c>
      <c r="B53" s="8">
        <v>1</v>
      </c>
      <c r="C53" s="8">
        <v>3.8197999999999999</v>
      </c>
      <c r="D53" s="8">
        <v>1.8819999999999999</v>
      </c>
      <c r="E53" s="8">
        <v>0</v>
      </c>
      <c r="F53" s="8">
        <v>0</v>
      </c>
      <c r="G53" s="8">
        <v>1</v>
      </c>
      <c r="H53" s="8">
        <v>1</v>
      </c>
      <c r="I53" s="8">
        <v>0</v>
      </c>
      <c r="J53" s="6">
        <v>22</v>
      </c>
      <c r="K53" s="8">
        <v>1</v>
      </c>
      <c r="L53" s="7">
        <v>1.05</v>
      </c>
      <c r="M53" s="100">
        <v>0.95</v>
      </c>
      <c r="N53" s="5" t="s">
        <v>94</v>
      </c>
      <c r="O53" s="57"/>
      <c r="P53" s="58"/>
      <c r="Q53" s="12">
        <v>103.72199999999999</v>
      </c>
      <c r="R53" s="12">
        <v>1.2732333333333332</v>
      </c>
      <c r="S53" s="136" t="s">
        <v>936</v>
      </c>
      <c r="T53" s="136">
        <v>1</v>
      </c>
      <c r="U53" s="151">
        <v>5</v>
      </c>
      <c r="V53" s="93">
        <f t="shared" si="1"/>
        <v>4.4851630993015572</v>
      </c>
      <c r="W53" s="93">
        <f t="shared" si="2"/>
        <v>2.2098217060803003</v>
      </c>
      <c r="X53" s="93">
        <f t="shared" si="5"/>
        <v>0.89703261986031146</v>
      </c>
      <c r="Z53" s="8">
        <v>2.7400000019999999</v>
      </c>
      <c r="AA53" s="8">
        <v>1.3500000350000001</v>
      </c>
      <c r="AC53" s="151">
        <v>5</v>
      </c>
      <c r="AD53" s="8">
        <f t="shared" si="3"/>
        <v>4.9000000000000004</v>
      </c>
      <c r="AF53" s="152">
        <v>3.8197999999999999</v>
      </c>
      <c r="AG53" s="152">
        <v>1.8819999999999999</v>
      </c>
    </row>
    <row r="54" spans="1:33" x14ac:dyDescent="0.25">
      <c r="A54" s="99">
        <f t="shared" si="4"/>
        <v>53</v>
      </c>
      <c r="B54" s="8">
        <v>1</v>
      </c>
      <c r="C54" s="8">
        <v>2.5659000000000001</v>
      </c>
      <c r="D54" s="8">
        <v>1.2446999999999999</v>
      </c>
      <c r="E54" s="8">
        <v>0</v>
      </c>
      <c r="F54" s="8">
        <v>0</v>
      </c>
      <c r="G54" s="8">
        <v>1</v>
      </c>
      <c r="H54" s="8">
        <v>1</v>
      </c>
      <c r="I54" s="8">
        <v>0</v>
      </c>
      <c r="J54" s="6">
        <v>22</v>
      </c>
      <c r="K54" s="8">
        <v>1</v>
      </c>
      <c r="L54" s="7">
        <v>1.05</v>
      </c>
      <c r="M54" s="100">
        <v>0.95</v>
      </c>
      <c r="N54" s="5" t="s">
        <v>95</v>
      </c>
      <c r="O54" s="57"/>
      <c r="P54" s="58"/>
      <c r="Q54" s="12">
        <v>103.72135</v>
      </c>
      <c r="R54" s="12">
        <v>1.2725500000000001</v>
      </c>
      <c r="S54" s="136" t="s">
        <v>936</v>
      </c>
      <c r="T54" s="136">
        <v>1</v>
      </c>
      <c r="U54" s="151">
        <v>3</v>
      </c>
      <c r="V54" s="93">
        <f t="shared" si="1"/>
        <v>2.6991832323855265</v>
      </c>
      <c r="W54" s="93">
        <f t="shared" si="2"/>
        <v>1.3093547563623942</v>
      </c>
      <c r="X54" s="93">
        <f t="shared" si="5"/>
        <v>0.89972774412850876</v>
      </c>
      <c r="Z54" s="8">
        <v>1.339999959</v>
      </c>
      <c r="AA54" s="8">
        <v>0.65000001299999999</v>
      </c>
      <c r="AC54" s="151">
        <v>3</v>
      </c>
      <c r="AD54" s="8">
        <f t="shared" si="3"/>
        <v>2.94</v>
      </c>
      <c r="AF54" s="152">
        <v>2.5659000000000001</v>
      </c>
      <c r="AG54" s="152">
        <v>1.2446999999999999</v>
      </c>
    </row>
    <row r="55" spans="1:33" x14ac:dyDescent="0.25">
      <c r="A55" s="99">
        <f t="shared" si="4"/>
        <v>54</v>
      </c>
      <c r="B55" s="8">
        <v>1</v>
      </c>
      <c r="C55" s="8">
        <v>0</v>
      </c>
      <c r="D55" s="8">
        <v>0</v>
      </c>
      <c r="E55" s="8">
        <v>0</v>
      </c>
      <c r="F55" s="8">
        <v>0</v>
      </c>
      <c r="G55" s="8">
        <v>1</v>
      </c>
      <c r="H55" s="8">
        <v>1</v>
      </c>
      <c r="I55" s="8">
        <v>0</v>
      </c>
      <c r="J55" s="6">
        <v>22</v>
      </c>
      <c r="K55" s="8">
        <v>1</v>
      </c>
      <c r="L55" s="7">
        <v>1.05</v>
      </c>
      <c r="M55" s="100">
        <v>0.95</v>
      </c>
      <c r="N55" s="5" t="s">
        <v>96</v>
      </c>
      <c r="O55" s="57"/>
      <c r="P55" s="58"/>
      <c r="Q55" s="12">
        <v>103.72085</v>
      </c>
      <c r="R55" s="12">
        <v>1.2719833333333332</v>
      </c>
      <c r="S55" s="139"/>
      <c r="T55" s="139">
        <v>0</v>
      </c>
      <c r="U55" s="151">
        <v>0</v>
      </c>
      <c r="V55" s="93">
        <f t="shared" si="1"/>
        <v>0</v>
      </c>
      <c r="W55" s="93">
        <f t="shared" si="2"/>
        <v>0</v>
      </c>
      <c r="X55" s="93">
        <f t="shared" si="5"/>
        <v>0</v>
      </c>
      <c r="Z55" s="8">
        <v>0</v>
      </c>
      <c r="AA55" s="8">
        <v>0</v>
      </c>
      <c r="AC55" s="151">
        <v>0</v>
      </c>
      <c r="AD55" s="8">
        <f t="shared" si="3"/>
        <v>0</v>
      </c>
      <c r="AF55" s="152">
        <v>0</v>
      </c>
      <c r="AG55" s="152">
        <v>0</v>
      </c>
    </row>
    <row r="56" spans="1:33" x14ac:dyDescent="0.25">
      <c r="A56" s="99">
        <f t="shared" si="4"/>
        <v>55</v>
      </c>
      <c r="B56" s="8">
        <v>1</v>
      </c>
      <c r="C56" s="8">
        <v>0</v>
      </c>
      <c r="D56" s="8">
        <v>0</v>
      </c>
      <c r="E56" s="8">
        <v>0</v>
      </c>
      <c r="F56" s="8">
        <v>0</v>
      </c>
      <c r="G56" s="8">
        <v>1</v>
      </c>
      <c r="H56" s="8">
        <v>1</v>
      </c>
      <c r="I56" s="8">
        <v>0</v>
      </c>
      <c r="J56" s="6">
        <v>22</v>
      </c>
      <c r="K56" s="8">
        <v>1</v>
      </c>
      <c r="L56" s="7">
        <v>1.05</v>
      </c>
      <c r="M56" s="100">
        <v>0.95</v>
      </c>
      <c r="N56" s="5" t="s">
        <v>97</v>
      </c>
      <c r="O56" s="57"/>
      <c r="P56" s="58"/>
      <c r="Q56" s="12">
        <v>103.72001666666667</v>
      </c>
      <c r="R56" s="12">
        <v>1.2710999999999999</v>
      </c>
      <c r="S56" s="139"/>
      <c r="T56" s="139">
        <v>0</v>
      </c>
      <c r="U56" s="151">
        <v>0</v>
      </c>
      <c r="V56" s="93">
        <f t="shared" si="1"/>
        <v>0</v>
      </c>
      <c r="W56" s="93">
        <f t="shared" si="2"/>
        <v>0</v>
      </c>
      <c r="X56" s="93">
        <f t="shared" si="5"/>
        <v>0</v>
      </c>
      <c r="Z56" s="8">
        <v>0</v>
      </c>
      <c r="AA56" s="8">
        <v>0</v>
      </c>
      <c r="AC56" s="151">
        <v>0</v>
      </c>
      <c r="AD56" s="8">
        <f t="shared" si="3"/>
        <v>0</v>
      </c>
      <c r="AF56" s="152">
        <v>0</v>
      </c>
      <c r="AG56" s="152">
        <v>0</v>
      </c>
    </row>
    <row r="57" spans="1:33" x14ac:dyDescent="0.25">
      <c r="A57" s="99">
        <f t="shared" si="4"/>
        <v>56</v>
      </c>
      <c r="B57" s="8">
        <v>1</v>
      </c>
      <c r="C57" s="8">
        <v>2.5912000000000002</v>
      </c>
      <c r="D57" s="8">
        <v>1.2848999999999999</v>
      </c>
      <c r="E57" s="8">
        <v>0</v>
      </c>
      <c r="F57" s="8">
        <v>0</v>
      </c>
      <c r="G57" s="8">
        <v>1</v>
      </c>
      <c r="H57" s="8">
        <v>1</v>
      </c>
      <c r="I57" s="8">
        <v>0</v>
      </c>
      <c r="J57" s="6">
        <v>22</v>
      </c>
      <c r="K57" s="8">
        <v>1</v>
      </c>
      <c r="L57" s="7">
        <v>1.05</v>
      </c>
      <c r="M57" s="100">
        <v>0.95</v>
      </c>
      <c r="N57" s="5" t="s">
        <v>98</v>
      </c>
      <c r="O57" s="57"/>
      <c r="P57" s="58"/>
      <c r="Q57" s="12">
        <v>103.72043333333333</v>
      </c>
      <c r="R57" s="12">
        <v>1.2706500000000001</v>
      </c>
      <c r="S57" s="136" t="s">
        <v>937</v>
      </c>
      <c r="T57" s="136">
        <v>1</v>
      </c>
      <c r="U57" s="151">
        <v>3</v>
      </c>
      <c r="V57" s="93">
        <f t="shared" si="1"/>
        <v>2.6877062869717872</v>
      </c>
      <c r="W57" s="93">
        <f t="shared" si="2"/>
        <v>1.3327546341965311</v>
      </c>
      <c r="X57" s="93">
        <f t="shared" ref="X57:X88" si="6">IF(C57&gt;0, C57/SQRT(C57*C57+D57*D57), 0)</f>
        <v>0.89590209565726242</v>
      </c>
      <c r="Z57" s="8">
        <v>1.2099999930000001</v>
      </c>
      <c r="AA57" s="8">
        <v>0.60000000499999995</v>
      </c>
      <c r="AC57" s="151">
        <v>3</v>
      </c>
      <c r="AD57" s="8">
        <f t="shared" si="3"/>
        <v>2.94</v>
      </c>
      <c r="AF57" s="152">
        <v>2.5912000000000002</v>
      </c>
      <c r="AG57" s="152">
        <v>1.2848999999999999</v>
      </c>
    </row>
    <row r="58" spans="1:33" x14ac:dyDescent="0.25">
      <c r="A58" s="99">
        <f t="shared" si="4"/>
        <v>57</v>
      </c>
      <c r="B58" s="8">
        <v>1</v>
      </c>
      <c r="C58" s="8">
        <v>0</v>
      </c>
      <c r="D58" s="8">
        <v>0</v>
      </c>
      <c r="E58" s="8">
        <v>0</v>
      </c>
      <c r="F58" s="8">
        <v>0</v>
      </c>
      <c r="G58" s="8">
        <v>1</v>
      </c>
      <c r="H58" s="8">
        <v>1</v>
      </c>
      <c r="I58" s="8">
        <v>0</v>
      </c>
      <c r="J58" s="6">
        <v>22</v>
      </c>
      <c r="K58" s="8">
        <v>1</v>
      </c>
      <c r="L58" s="7">
        <v>1.05</v>
      </c>
      <c r="M58" s="100">
        <v>0.95</v>
      </c>
      <c r="N58" s="5" t="s">
        <v>104</v>
      </c>
      <c r="O58" s="57"/>
      <c r="P58" s="58"/>
      <c r="Q58" s="12">
        <v>103.72361666666667</v>
      </c>
      <c r="R58" s="12">
        <v>1.2705833333333334</v>
      </c>
      <c r="S58" s="139"/>
      <c r="T58" s="139">
        <v>0</v>
      </c>
      <c r="U58" s="151">
        <v>0</v>
      </c>
      <c r="V58" s="93">
        <f t="shared" ref="V58:V121" si="7">U58*X58</f>
        <v>0</v>
      </c>
      <c r="W58" s="93">
        <f t="shared" ref="W58:W121" si="8">IF(X58&gt;0,SQRT((V58/X58)^2-V58^2), 0)</f>
        <v>0</v>
      </c>
      <c r="X58" s="93">
        <f t="shared" si="6"/>
        <v>0</v>
      </c>
      <c r="Z58" s="8">
        <v>0</v>
      </c>
      <c r="AA58" s="8">
        <v>0</v>
      </c>
      <c r="AC58" s="151">
        <v>0</v>
      </c>
      <c r="AD58" s="8">
        <f t="shared" si="3"/>
        <v>0</v>
      </c>
      <c r="AF58" s="152">
        <v>0</v>
      </c>
      <c r="AG58" s="152">
        <v>0</v>
      </c>
    </row>
    <row r="59" spans="1:33" x14ac:dyDescent="0.25">
      <c r="A59" s="99">
        <f t="shared" si="4"/>
        <v>58</v>
      </c>
      <c r="B59" s="8">
        <v>1</v>
      </c>
      <c r="C59" s="8">
        <v>2.3159999999999998</v>
      </c>
      <c r="D59" s="8">
        <v>1.1503000000000001</v>
      </c>
      <c r="E59" s="8">
        <v>0</v>
      </c>
      <c r="F59" s="8">
        <v>0</v>
      </c>
      <c r="G59" s="8">
        <v>1</v>
      </c>
      <c r="H59" s="8">
        <v>1</v>
      </c>
      <c r="I59" s="8">
        <v>0</v>
      </c>
      <c r="J59" s="6">
        <v>22</v>
      </c>
      <c r="K59" s="8">
        <v>1</v>
      </c>
      <c r="L59" s="7">
        <v>1.05</v>
      </c>
      <c r="M59" s="100">
        <v>0.95</v>
      </c>
      <c r="N59" s="5" t="s">
        <v>81</v>
      </c>
      <c r="O59" s="57"/>
      <c r="P59" s="58"/>
      <c r="Q59" s="12">
        <v>103.724</v>
      </c>
      <c r="R59" s="12">
        <v>1.2741833333333332</v>
      </c>
      <c r="S59" s="136" t="s">
        <v>936</v>
      </c>
      <c r="T59" s="136">
        <v>1</v>
      </c>
      <c r="U59" s="151">
        <v>3</v>
      </c>
      <c r="V59" s="93">
        <f t="shared" si="7"/>
        <v>2.6868452358971204</v>
      </c>
      <c r="W59" s="93">
        <f t="shared" si="8"/>
        <v>1.3344896696254129</v>
      </c>
      <c r="X59" s="93">
        <f t="shared" si="6"/>
        <v>0.89561507863237355</v>
      </c>
      <c r="Z59" s="8">
        <v>3.0200000849999999</v>
      </c>
      <c r="AA59" s="8">
        <v>1.4999999660000001</v>
      </c>
      <c r="AC59" s="151">
        <v>3</v>
      </c>
      <c r="AD59" s="8">
        <f t="shared" si="3"/>
        <v>2.94</v>
      </c>
      <c r="AF59" s="152">
        <v>2.3159999999999998</v>
      </c>
      <c r="AG59" s="152">
        <v>1.1503000000000001</v>
      </c>
    </row>
    <row r="60" spans="1:33" x14ac:dyDescent="0.25">
      <c r="A60" s="99">
        <f t="shared" si="4"/>
        <v>59</v>
      </c>
      <c r="B60" s="8">
        <v>1</v>
      </c>
      <c r="C60" s="8">
        <v>27.551400000000001</v>
      </c>
      <c r="D60" s="8">
        <v>13.771599999999999</v>
      </c>
      <c r="E60" s="8">
        <v>0</v>
      </c>
      <c r="F60" s="8">
        <v>0</v>
      </c>
      <c r="G60" s="8">
        <v>1</v>
      </c>
      <c r="H60" s="8">
        <v>1</v>
      </c>
      <c r="I60" s="8">
        <v>0</v>
      </c>
      <c r="J60" s="104">
        <v>66</v>
      </c>
      <c r="K60" s="8">
        <v>1</v>
      </c>
      <c r="L60" s="7">
        <v>1.05</v>
      </c>
      <c r="M60" s="100">
        <v>0.95</v>
      </c>
      <c r="N60" s="5" t="s">
        <v>914</v>
      </c>
      <c r="O60" s="57"/>
      <c r="P60" s="58"/>
      <c r="Q60" s="12">
        <v>103.73005000000001</v>
      </c>
      <c r="R60" s="12">
        <v>1.2764666666666666</v>
      </c>
      <c r="S60" s="136" t="s">
        <v>938</v>
      </c>
      <c r="T60" s="136">
        <v>1</v>
      </c>
      <c r="U60" s="151">
        <v>35</v>
      </c>
      <c r="V60" s="93">
        <f t="shared" si="7"/>
        <v>31.306815004604324</v>
      </c>
      <c r="W60" s="93">
        <f t="shared" si="8"/>
        <v>15.648748648613459</v>
      </c>
      <c r="X60" s="93">
        <f t="shared" si="6"/>
        <v>0.89448042870298072</v>
      </c>
      <c r="Z60" s="8">
        <v>34.009999039999997</v>
      </c>
      <c r="AA60" s="8">
        <v>17.000000180000001</v>
      </c>
      <c r="AC60" s="151">
        <v>35</v>
      </c>
      <c r="AD60" s="8">
        <f t="shared" si="3"/>
        <v>34.299999999999997</v>
      </c>
      <c r="AF60" s="152">
        <v>27.551400000000001</v>
      </c>
      <c r="AG60" s="152">
        <v>13.771599999999999</v>
      </c>
    </row>
    <row r="61" spans="1:33" x14ac:dyDescent="0.25">
      <c r="A61" s="99">
        <f t="shared" si="4"/>
        <v>60</v>
      </c>
      <c r="B61" s="8">
        <v>1</v>
      </c>
      <c r="C61" s="8">
        <v>0</v>
      </c>
      <c r="D61" s="8">
        <v>0</v>
      </c>
      <c r="E61" s="8">
        <v>0</v>
      </c>
      <c r="F61" s="8">
        <v>0</v>
      </c>
      <c r="G61" s="8">
        <v>1</v>
      </c>
      <c r="H61" s="8">
        <v>1</v>
      </c>
      <c r="I61" s="8">
        <v>0</v>
      </c>
      <c r="J61" s="6">
        <v>22</v>
      </c>
      <c r="K61" s="8">
        <v>1</v>
      </c>
      <c r="L61" s="7">
        <v>1.05</v>
      </c>
      <c r="M61" s="100">
        <v>0.95</v>
      </c>
      <c r="N61" s="5" t="s">
        <v>915</v>
      </c>
      <c r="O61" s="57"/>
      <c r="P61" s="58"/>
      <c r="Q61" s="12">
        <v>103.73005000000001</v>
      </c>
      <c r="R61" s="12">
        <v>1.2764666666666666</v>
      </c>
      <c r="S61" s="139"/>
      <c r="T61" s="139">
        <v>0</v>
      </c>
      <c r="U61" s="151">
        <v>0</v>
      </c>
      <c r="V61" s="93">
        <f t="shared" si="7"/>
        <v>0</v>
      </c>
      <c r="W61" s="93">
        <f t="shared" si="8"/>
        <v>0</v>
      </c>
      <c r="X61" s="93">
        <f t="shared" si="6"/>
        <v>0</v>
      </c>
      <c r="Z61" s="8">
        <v>0</v>
      </c>
      <c r="AA61" s="8">
        <v>0</v>
      </c>
      <c r="AC61" s="151">
        <v>0</v>
      </c>
      <c r="AD61" s="8">
        <f t="shared" si="3"/>
        <v>0</v>
      </c>
      <c r="AF61" s="152">
        <v>0</v>
      </c>
      <c r="AG61" s="152">
        <v>0</v>
      </c>
    </row>
    <row r="62" spans="1:33" x14ac:dyDescent="0.25">
      <c r="A62" s="99">
        <f t="shared" si="4"/>
        <v>61</v>
      </c>
      <c r="B62" s="8">
        <v>1</v>
      </c>
      <c r="C62" s="8">
        <v>0</v>
      </c>
      <c r="D62" s="8">
        <v>0</v>
      </c>
      <c r="E62" s="8">
        <v>0</v>
      </c>
      <c r="F62" s="8">
        <v>0</v>
      </c>
      <c r="G62" s="8">
        <v>1</v>
      </c>
      <c r="H62" s="8">
        <v>1</v>
      </c>
      <c r="I62" s="8">
        <v>0</v>
      </c>
      <c r="J62" s="104">
        <v>66</v>
      </c>
      <c r="K62" s="8">
        <v>1</v>
      </c>
      <c r="L62" s="7">
        <v>1.05</v>
      </c>
      <c r="M62" s="100">
        <v>0.95</v>
      </c>
      <c r="N62" s="5" t="s">
        <v>212</v>
      </c>
      <c r="O62" s="57"/>
      <c r="P62" s="58"/>
      <c r="Q62" s="12">
        <v>103.73471666666667</v>
      </c>
      <c r="R62" s="12">
        <v>1.2723333333333333</v>
      </c>
      <c r="S62" s="139"/>
      <c r="T62" s="139">
        <v>0</v>
      </c>
      <c r="U62" s="151">
        <v>0</v>
      </c>
      <c r="V62" s="93">
        <f t="shared" si="7"/>
        <v>0</v>
      </c>
      <c r="W62" s="93">
        <f t="shared" si="8"/>
        <v>0</v>
      </c>
      <c r="X62" s="93">
        <f t="shared" si="6"/>
        <v>0</v>
      </c>
      <c r="Z62" s="8">
        <v>0</v>
      </c>
      <c r="AA62" s="8">
        <v>0</v>
      </c>
      <c r="AC62" s="151">
        <v>0</v>
      </c>
      <c r="AD62" s="8">
        <f t="shared" si="3"/>
        <v>0</v>
      </c>
      <c r="AF62" s="152">
        <v>0</v>
      </c>
      <c r="AG62" s="152">
        <v>0</v>
      </c>
    </row>
    <row r="63" spans="1:33" x14ac:dyDescent="0.25">
      <c r="A63" s="99">
        <f t="shared" si="4"/>
        <v>62</v>
      </c>
      <c r="B63" s="8">
        <v>1</v>
      </c>
      <c r="C63" s="8">
        <v>9.3435000000000006</v>
      </c>
      <c r="D63" s="8">
        <v>4.5094000000000003</v>
      </c>
      <c r="E63" s="8">
        <v>0</v>
      </c>
      <c r="F63" s="8">
        <v>0</v>
      </c>
      <c r="G63" s="8">
        <v>1</v>
      </c>
      <c r="H63" s="8">
        <v>1</v>
      </c>
      <c r="I63" s="8">
        <v>0</v>
      </c>
      <c r="J63" s="104">
        <v>22</v>
      </c>
      <c r="K63" s="8">
        <v>1</v>
      </c>
      <c r="L63" s="7">
        <v>1.05</v>
      </c>
      <c r="M63" s="100">
        <v>0.95</v>
      </c>
      <c r="N63" s="5" t="s">
        <v>970</v>
      </c>
      <c r="O63" s="12">
        <v>103.73171666666667</v>
      </c>
      <c r="P63" s="12">
        <v>1.2785166666666665</v>
      </c>
      <c r="Q63" s="12">
        <v>103.73171666666667</v>
      </c>
      <c r="R63" s="12">
        <v>1.2785166666666665</v>
      </c>
      <c r="S63" s="133" t="s">
        <v>935</v>
      </c>
      <c r="T63" s="133">
        <v>4</v>
      </c>
      <c r="U63" s="151">
        <v>15</v>
      </c>
      <c r="V63" s="93">
        <f t="shared" si="7"/>
        <v>13.508984964817964</v>
      </c>
      <c r="W63" s="93">
        <f t="shared" si="8"/>
        <v>6.5197641997484999</v>
      </c>
      <c r="X63" s="93">
        <f t="shared" si="6"/>
        <v>0.90059899765453089</v>
      </c>
      <c r="Z63" s="8">
        <v>20.72000057</v>
      </c>
      <c r="AA63" s="8">
        <v>10.00000015</v>
      </c>
      <c r="AC63" s="151">
        <v>15</v>
      </c>
      <c r="AD63" s="8">
        <f t="shared" si="3"/>
        <v>14.7</v>
      </c>
      <c r="AF63" s="152">
        <v>9.3435000000000006</v>
      </c>
      <c r="AG63" s="152">
        <v>4.5094000000000003</v>
      </c>
    </row>
    <row r="64" spans="1:33" x14ac:dyDescent="0.25">
      <c r="A64" s="99">
        <f t="shared" si="4"/>
        <v>63</v>
      </c>
      <c r="B64" s="8">
        <v>1</v>
      </c>
      <c r="C64" s="8">
        <v>25.924600000000002</v>
      </c>
      <c r="D64" s="8">
        <v>12.529</v>
      </c>
      <c r="E64" s="8">
        <v>0</v>
      </c>
      <c r="F64" s="8">
        <v>0</v>
      </c>
      <c r="G64" s="8">
        <v>1</v>
      </c>
      <c r="H64" s="8">
        <v>1</v>
      </c>
      <c r="I64" s="8">
        <v>0</v>
      </c>
      <c r="J64" s="104">
        <v>66</v>
      </c>
      <c r="K64" s="8">
        <v>1</v>
      </c>
      <c r="L64" s="7">
        <v>1.05</v>
      </c>
      <c r="M64" s="100">
        <v>0.95</v>
      </c>
      <c r="N64" s="5" t="s">
        <v>225</v>
      </c>
      <c r="O64" s="12">
        <v>103.72935</v>
      </c>
      <c r="P64" s="12">
        <v>1.2789999999999999</v>
      </c>
      <c r="Q64" s="12">
        <f>Q61+(Q62-Q61)/3</f>
        <v>103.73160555555556</v>
      </c>
      <c r="R64" s="12">
        <f>R61+(R62-R61)/3</f>
        <v>1.2750888888888889</v>
      </c>
      <c r="S64" s="133" t="s">
        <v>935</v>
      </c>
      <c r="T64" s="133">
        <v>4</v>
      </c>
      <c r="U64" s="151">
        <v>40</v>
      </c>
      <c r="V64" s="93">
        <f t="shared" si="7"/>
        <v>36.014623943002434</v>
      </c>
      <c r="W64" s="93">
        <f t="shared" si="8"/>
        <v>17.405368776446981</v>
      </c>
      <c r="X64" s="93">
        <f t="shared" si="6"/>
        <v>0.90036559857506093</v>
      </c>
      <c r="Z64" s="8">
        <v>24.830000099999999</v>
      </c>
      <c r="AA64" s="8">
        <v>11.999999730000001</v>
      </c>
      <c r="AC64" s="151">
        <v>40</v>
      </c>
      <c r="AD64" s="8">
        <f t="shared" si="3"/>
        <v>39.200000000000003</v>
      </c>
      <c r="AF64" s="152">
        <v>25.924600000000002</v>
      </c>
      <c r="AG64" s="152">
        <v>12.529</v>
      </c>
    </row>
    <row r="65" spans="1:33" x14ac:dyDescent="0.25">
      <c r="A65" s="99">
        <f t="shared" si="4"/>
        <v>64</v>
      </c>
      <c r="B65" s="8">
        <v>1</v>
      </c>
      <c r="C65" s="8">
        <v>24.263000000000002</v>
      </c>
      <c r="D65" s="8">
        <v>11.8812</v>
      </c>
      <c r="E65" s="8">
        <v>0</v>
      </c>
      <c r="F65" s="8">
        <v>0</v>
      </c>
      <c r="G65" s="8">
        <v>1</v>
      </c>
      <c r="H65" s="8">
        <v>1</v>
      </c>
      <c r="I65" s="8">
        <v>0</v>
      </c>
      <c r="J65" s="104">
        <v>66</v>
      </c>
      <c r="K65" s="8">
        <v>1</v>
      </c>
      <c r="L65" s="7">
        <v>1.05</v>
      </c>
      <c r="M65" s="100">
        <v>0.95</v>
      </c>
      <c r="N65" s="5" t="s">
        <v>231</v>
      </c>
      <c r="O65" s="12">
        <v>103.72783333333334</v>
      </c>
      <c r="P65" s="12">
        <v>1.2804833333333334</v>
      </c>
      <c r="Q65" s="12">
        <f>Q61+(Q62-Q61)*2/3</f>
        <v>103.73316111111112</v>
      </c>
      <c r="R65" s="12">
        <f>R61+(R62-R61)*2/3</f>
        <v>1.273711111111111</v>
      </c>
      <c r="S65" s="133" t="s">
        <v>935</v>
      </c>
      <c r="T65" s="133">
        <v>4</v>
      </c>
      <c r="U65" s="151">
        <v>30</v>
      </c>
      <c r="V65" s="93">
        <f t="shared" si="7"/>
        <v>26.943073577126249</v>
      </c>
      <c r="W65" s="93">
        <f t="shared" si="8"/>
        <v>13.193588830093249</v>
      </c>
      <c r="X65" s="93">
        <f t="shared" si="6"/>
        <v>0.89810245257087495</v>
      </c>
      <c r="Z65" s="8">
        <v>28.589999679999998</v>
      </c>
      <c r="AA65" s="8">
        <v>14.00000006</v>
      </c>
      <c r="AC65" s="151">
        <v>30</v>
      </c>
      <c r="AD65" s="8">
        <f t="shared" si="3"/>
        <v>29.4</v>
      </c>
      <c r="AF65" s="152">
        <v>24.263000000000002</v>
      </c>
      <c r="AG65" s="152">
        <v>11.8812</v>
      </c>
    </row>
    <row r="66" spans="1:33" x14ac:dyDescent="0.25">
      <c r="A66" s="99">
        <f t="shared" si="4"/>
        <v>65</v>
      </c>
      <c r="B66" s="8">
        <v>1</v>
      </c>
      <c r="C66" s="8">
        <v>4.3834</v>
      </c>
      <c r="D66" s="8">
        <v>2.0979000000000001</v>
      </c>
      <c r="E66" s="8">
        <v>0</v>
      </c>
      <c r="F66" s="8">
        <v>0</v>
      </c>
      <c r="G66" s="8">
        <v>1</v>
      </c>
      <c r="H66" s="8">
        <v>1</v>
      </c>
      <c r="I66" s="8">
        <v>0</v>
      </c>
      <c r="J66" s="6">
        <v>22</v>
      </c>
      <c r="K66" s="8">
        <v>1</v>
      </c>
      <c r="L66" s="7">
        <v>1.05</v>
      </c>
      <c r="M66" s="100">
        <v>0.95</v>
      </c>
      <c r="N66" s="5" t="s">
        <v>234</v>
      </c>
      <c r="O66" s="57"/>
      <c r="P66" s="58"/>
      <c r="Q66" s="12">
        <v>103.72685</v>
      </c>
      <c r="R66" s="12">
        <v>1.2814666666666668</v>
      </c>
      <c r="S66" s="134" t="s">
        <v>928</v>
      </c>
      <c r="T66" s="134">
        <v>2</v>
      </c>
      <c r="U66" s="151">
        <v>5</v>
      </c>
      <c r="V66" s="93">
        <f t="shared" si="7"/>
        <v>4.5100736993114419</v>
      </c>
      <c r="W66" s="93">
        <f t="shared" si="8"/>
        <v>2.1585261700473324</v>
      </c>
      <c r="X66" s="93">
        <f t="shared" si="6"/>
        <v>0.90201473986228842</v>
      </c>
      <c r="Z66" s="8">
        <v>35.51999927</v>
      </c>
      <c r="AA66" s="8">
        <v>17.000000180000001</v>
      </c>
      <c r="AC66" s="151">
        <v>5</v>
      </c>
      <c r="AD66" s="8">
        <f t="shared" si="3"/>
        <v>4.9000000000000004</v>
      </c>
      <c r="AF66" s="152">
        <v>4.3834</v>
      </c>
      <c r="AG66" s="152">
        <v>2.0979000000000001</v>
      </c>
    </row>
    <row r="67" spans="1:33" x14ac:dyDescent="0.25">
      <c r="A67" s="99">
        <f t="shared" si="4"/>
        <v>66</v>
      </c>
      <c r="B67" s="8">
        <v>1</v>
      </c>
      <c r="C67" s="8">
        <v>2.5638000000000001</v>
      </c>
      <c r="D67" s="8">
        <v>1.2608999999999999</v>
      </c>
      <c r="E67" s="8">
        <v>0</v>
      </c>
      <c r="F67" s="8">
        <v>0</v>
      </c>
      <c r="G67" s="8">
        <v>1</v>
      </c>
      <c r="H67" s="8">
        <v>1</v>
      </c>
      <c r="I67" s="8">
        <v>0</v>
      </c>
      <c r="J67" s="6">
        <v>22</v>
      </c>
      <c r="K67" s="8">
        <v>1</v>
      </c>
      <c r="L67" s="7">
        <v>1.05</v>
      </c>
      <c r="M67" s="100">
        <v>0.95</v>
      </c>
      <c r="N67" s="5" t="s">
        <v>64</v>
      </c>
      <c r="O67" s="57"/>
      <c r="P67" s="58"/>
      <c r="Q67" s="12">
        <v>103.71285</v>
      </c>
      <c r="R67" s="12">
        <v>1.27745</v>
      </c>
      <c r="S67" s="136" t="s">
        <v>936</v>
      </c>
      <c r="T67" s="136">
        <v>1</v>
      </c>
      <c r="U67" s="151">
        <v>3</v>
      </c>
      <c r="V67" s="93">
        <f t="shared" si="7"/>
        <v>2.6920437631745973</v>
      </c>
      <c r="W67" s="93">
        <f t="shared" si="8"/>
        <v>1.3239714412149339</v>
      </c>
      <c r="X67" s="93">
        <f t="shared" si="6"/>
        <v>0.89734792105819916</v>
      </c>
      <c r="Z67" s="8">
        <v>1.830000058</v>
      </c>
      <c r="AA67" s="8">
        <v>0.89999996100000001</v>
      </c>
      <c r="AC67" s="151">
        <v>3</v>
      </c>
      <c r="AD67" s="8">
        <f t="shared" ref="AD67:AD130" si="9">AC67*0.98</f>
        <v>2.94</v>
      </c>
      <c r="AF67" s="152">
        <v>2.5638000000000001</v>
      </c>
      <c r="AG67" s="152">
        <v>1.2608999999999999</v>
      </c>
    </row>
    <row r="68" spans="1:33" x14ac:dyDescent="0.25">
      <c r="A68" s="99">
        <f t="shared" ref="A68:A131" si="10">A67+1</f>
        <v>67</v>
      </c>
      <c r="B68" s="8">
        <v>1</v>
      </c>
      <c r="C68" s="8">
        <v>2.4601999999999999</v>
      </c>
      <c r="D68" s="8">
        <v>1.2233000000000001</v>
      </c>
      <c r="E68" s="8">
        <v>0</v>
      </c>
      <c r="F68" s="8">
        <v>0</v>
      </c>
      <c r="G68" s="8">
        <v>1</v>
      </c>
      <c r="H68" s="8">
        <v>1</v>
      </c>
      <c r="I68" s="8">
        <v>0</v>
      </c>
      <c r="J68" s="6">
        <v>22</v>
      </c>
      <c r="K68" s="8">
        <v>1</v>
      </c>
      <c r="L68" s="7">
        <v>1.05</v>
      </c>
      <c r="M68" s="100">
        <v>0.95</v>
      </c>
      <c r="N68" s="5" t="s">
        <v>69</v>
      </c>
      <c r="O68" s="57"/>
      <c r="P68" s="58"/>
      <c r="Q68" s="12">
        <v>103.71181666666666</v>
      </c>
      <c r="R68" s="12">
        <v>1.2789000000000001</v>
      </c>
      <c r="S68" s="136" t="s">
        <v>936</v>
      </c>
      <c r="T68" s="136">
        <v>1</v>
      </c>
      <c r="U68" s="151">
        <v>3</v>
      </c>
      <c r="V68" s="93">
        <f t="shared" si="7"/>
        <v>2.6862449141767648</v>
      </c>
      <c r="W68" s="93">
        <f t="shared" si="8"/>
        <v>1.3356976682840564</v>
      </c>
      <c r="X68" s="93">
        <f t="shared" si="6"/>
        <v>0.8954149713922549</v>
      </c>
      <c r="Z68" s="8">
        <v>1.8100000919999999</v>
      </c>
      <c r="AA68" s="8">
        <v>0.89999996100000001</v>
      </c>
      <c r="AC68" s="151">
        <v>3</v>
      </c>
      <c r="AD68" s="8">
        <f t="shared" si="9"/>
        <v>2.94</v>
      </c>
      <c r="AF68" s="152">
        <v>2.4601999999999999</v>
      </c>
      <c r="AG68" s="152">
        <v>1.2233000000000001</v>
      </c>
    </row>
    <row r="69" spans="1:33" x14ac:dyDescent="0.25">
      <c r="A69" s="99">
        <f t="shared" si="10"/>
        <v>68</v>
      </c>
      <c r="B69" s="8">
        <v>1</v>
      </c>
      <c r="C69" s="8">
        <v>0</v>
      </c>
      <c r="D69" s="8">
        <v>0</v>
      </c>
      <c r="E69" s="8">
        <v>0</v>
      </c>
      <c r="F69" s="8">
        <v>0</v>
      </c>
      <c r="G69" s="8">
        <v>1</v>
      </c>
      <c r="H69" s="8">
        <v>1</v>
      </c>
      <c r="I69" s="8">
        <v>0</v>
      </c>
      <c r="J69" s="6">
        <v>22</v>
      </c>
      <c r="K69" s="8">
        <v>1</v>
      </c>
      <c r="L69" s="7">
        <v>1.05</v>
      </c>
      <c r="M69" s="100">
        <v>0.95</v>
      </c>
      <c r="N69" s="5" t="s">
        <v>73</v>
      </c>
      <c r="O69" s="57"/>
      <c r="P69" s="58"/>
      <c r="Q69" s="12">
        <v>103.71455</v>
      </c>
      <c r="R69" s="12">
        <v>1.2781666666666667</v>
      </c>
      <c r="S69" s="139"/>
      <c r="T69" s="139">
        <v>0</v>
      </c>
      <c r="U69" s="151">
        <v>0</v>
      </c>
      <c r="V69" s="93">
        <f t="shared" si="7"/>
        <v>0</v>
      </c>
      <c r="W69" s="93">
        <f t="shared" si="8"/>
        <v>0</v>
      </c>
      <c r="X69" s="93">
        <f t="shared" si="6"/>
        <v>0</v>
      </c>
      <c r="Z69" s="8">
        <v>0</v>
      </c>
      <c r="AA69" s="8">
        <v>0</v>
      </c>
      <c r="AC69" s="151">
        <v>0</v>
      </c>
      <c r="AD69" s="8">
        <f t="shared" si="9"/>
        <v>0</v>
      </c>
      <c r="AF69" s="152">
        <v>0</v>
      </c>
      <c r="AG69" s="152">
        <v>0</v>
      </c>
    </row>
    <row r="70" spans="1:33" x14ac:dyDescent="0.25">
      <c r="A70" s="99">
        <f t="shared" si="10"/>
        <v>69</v>
      </c>
      <c r="B70" s="8">
        <v>1</v>
      </c>
      <c r="C70" s="8">
        <v>0</v>
      </c>
      <c r="D70" s="8">
        <v>0</v>
      </c>
      <c r="E70" s="8">
        <v>0</v>
      </c>
      <c r="F70" s="8">
        <v>0</v>
      </c>
      <c r="G70" s="8">
        <v>1</v>
      </c>
      <c r="H70" s="8">
        <v>1</v>
      </c>
      <c r="I70" s="8">
        <v>0</v>
      </c>
      <c r="J70" s="6">
        <v>22</v>
      </c>
      <c r="K70" s="8">
        <v>1</v>
      </c>
      <c r="L70" s="7">
        <v>1.05</v>
      </c>
      <c r="M70" s="100">
        <v>0.95</v>
      </c>
      <c r="N70" s="5" t="s">
        <v>77</v>
      </c>
      <c r="O70" s="57"/>
      <c r="P70" s="58"/>
      <c r="Q70" s="12">
        <v>103.71603333333333</v>
      </c>
      <c r="R70" s="12">
        <v>1.2778</v>
      </c>
      <c r="S70" s="139"/>
      <c r="T70" s="139">
        <v>0</v>
      </c>
      <c r="U70" s="151">
        <v>0</v>
      </c>
      <c r="V70" s="93">
        <f t="shared" si="7"/>
        <v>0</v>
      </c>
      <c r="W70" s="93">
        <f t="shared" si="8"/>
        <v>0</v>
      </c>
      <c r="X70" s="93">
        <f t="shared" si="6"/>
        <v>0</v>
      </c>
      <c r="Z70" s="8">
        <v>0</v>
      </c>
      <c r="AA70" s="8">
        <v>0</v>
      </c>
      <c r="AC70" s="151">
        <v>0</v>
      </c>
      <c r="AD70" s="8">
        <f t="shared" si="9"/>
        <v>0</v>
      </c>
      <c r="AF70" s="152">
        <v>0</v>
      </c>
      <c r="AG70" s="152">
        <v>0</v>
      </c>
    </row>
    <row r="71" spans="1:33" x14ac:dyDescent="0.25">
      <c r="A71" s="99">
        <f t="shared" si="10"/>
        <v>70</v>
      </c>
      <c r="B71" s="8">
        <v>1</v>
      </c>
      <c r="C71" s="8">
        <v>2.9481999999999999</v>
      </c>
      <c r="D71" s="8">
        <v>1.4533</v>
      </c>
      <c r="E71" s="8">
        <v>0</v>
      </c>
      <c r="F71" s="8">
        <v>0</v>
      </c>
      <c r="G71" s="8">
        <v>1</v>
      </c>
      <c r="H71" s="8">
        <v>1</v>
      </c>
      <c r="I71" s="8">
        <v>0</v>
      </c>
      <c r="J71" s="6">
        <v>22</v>
      </c>
      <c r="K71" s="8">
        <v>1</v>
      </c>
      <c r="L71" s="7">
        <v>1.05</v>
      </c>
      <c r="M71" s="100">
        <v>0.95</v>
      </c>
      <c r="N71" s="5" t="s">
        <v>78</v>
      </c>
      <c r="O71" s="57"/>
      <c r="P71" s="58"/>
      <c r="Q71" s="12">
        <v>103.71725000000001</v>
      </c>
      <c r="R71" s="12">
        <v>1.2784666666666666</v>
      </c>
      <c r="S71" s="134" t="s">
        <v>928</v>
      </c>
      <c r="T71" s="134">
        <v>2</v>
      </c>
      <c r="U71" s="151">
        <v>4</v>
      </c>
      <c r="V71" s="93">
        <f t="shared" si="7"/>
        <v>3.587776379936269</v>
      </c>
      <c r="W71" s="93">
        <f t="shared" si="8"/>
        <v>1.7685758812025569</v>
      </c>
      <c r="X71" s="93">
        <f t="shared" si="6"/>
        <v>0.89694409498406724</v>
      </c>
      <c r="Z71" s="8">
        <v>2.840000018</v>
      </c>
      <c r="AA71" s="8">
        <v>1.4000000429999999</v>
      </c>
      <c r="AC71" s="151">
        <v>4</v>
      </c>
      <c r="AD71" s="8">
        <f t="shared" si="9"/>
        <v>3.92</v>
      </c>
      <c r="AF71" s="152">
        <v>2.9481999999999999</v>
      </c>
      <c r="AG71" s="152">
        <v>1.4533</v>
      </c>
    </row>
    <row r="72" spans="1:33" x14ac:dyDescent="0.25">
      <c r="A72" s="99">
        <f t="shared" si="10"/>
        <v>71</v>
      </c>
      <c r="B72" s="8">
        <v>1</v>
      </c>
      <c r="C72" s="8">
        <v>8.7748000000000008</v>
      </c>
      <c r="D72" s="8">
        <v>4.4272999999999998</v>
      </c>
      <c r="E72" s="8">
        <v>0</v>
      </c>
      <c r="F72" s="8">
        <v>0</v>
      </c>
      <c r="G72" s="8">
        <v>1</v>
      </c>
      <c r="H72" s="8">
        <v>1</v>
      </c>
      <c r="I72" s="8">
        <v>0</v>
      </c>
      <c r="J72" s="6">
        <v>22</v>
      </c>
      <c r="K72" s="8">
        <v>1</v>
      </c>
      <c r="L72" s="7">
        <v>1.05</v>
      </c>
      <c r="M72" s="100">
        <v>0.95</v>
      </c>
      <c r="N72" s="5" t="s">
        <v>79</v>
      </c>
      <c r="O72" s="57"/>
      <c r="P72" s="58"/>
      <c r="Q72" s="12">
        <v>103.71668333333334</v>
      </c>
      <c r="R72" s="12">
        <v>1.27925</v>
      </c>
      <c r="S72" s="136" t="s">
        <v>944</v>
      </c>
      <c r="T72" s="136">
        <v>1</v>
      </c>
      <c r="U72" s="151">
        <v>10</v>
      </c>
      <c r="V72" s="93">
        <f t="shared" si="7"/>
        <v>8.9279743460751355</v>
      </c>
      <c r="W72" s="93">
        <f t="shared" si="8"/>
        <v>4.504583673973019</v>
      </c>
      <c r="X72" s="93">
        <f t="shared" si="6"/>
        <v>0.89279743460751348</v>
      </c>
      <c r="Z72" s="8">
        <v>9.9100001160000009</v>
      </c>
      <c r="AA72" s="8">
        <v>5.000000075</v>
      </c>
      <c r="AC72" s="151">
        <v>10</v>
      </c>
      <c r="AD72" s="8">
        <f t="shared" si="9"/>
        <v>9.8000000000000007</v>
      </c>
      <c r="AF72" s="152">
        <v>8.7748000000000008</v>
      </c>
      <c r="AG72" s="152">
        <v>4.4272999999999998</v>
      </c>
    </row>
    <row r="73" spans="1:33" x14ac:dyDescent="0.25">
      <c r="A73" s="99">
        <f t="shared" si="10"/>
        <v>72</v>
      </c>
      <c r="B73" s="8">
        <v>1</v>
      </c>
      <c r="C73" s="8">
        <v>0</v>
      </c>
      <c r="D73" s="8">
        <v>0</v>
      </c>
      <c r="E73" s="8">
        <v>0</v>
      </c>
      <c r="F73" s="8">
        <v>0</v>
      </c>
      <c r="G73" s="8">
        <v>1</v>
      </c>
      <c r="H73" s="8">
        <v>1</v>
      </c>
      <c r="I73" s="8">
        <v>0</v>
      </c>
      <c r="J73" s="6">
        <v>22</v>
      </c>
      <c r="K73" s="8">
        <v>1</v>
      </c>
      <c r="L73" s="7">
        <v>1.05</v>
      </c>
      <c r="M73" s="100">
        <v>0.95</v>
      </c>
      <c r="N73" s="5" t="s">
        <v>70</v>
      </c>
      <c r="O73" s="57"/>
      <c r="P73" s="58"/>
      <c r="Q73" s="12">
        <v>103.71386666666666</v>
      </c>
      <c r="R73" s="12">
        <v>1.2763833333333334</v>
      </c>
      <c r="S73" s="139"/>
      <c r="T73" s="139">
        <v>0</v>
      </c>
      <c r="U73" s="151">
        <v>0</v>
      </c>
      <c r="V73" s="93">
        <f t="shared" si="7"/>
        <v>0</v>
      </c>
      <c r="W73" s="93">
        <f t="shared" si="8"/>
        <v>0</v>
      </c>
      <c r="X73" s="93">
        <f t="shared" si="6"/>
        <v>0</v>
      </c>
      <c r="Z73" s="8">
        <v>0</v>
      </c>
      <c r="AA73" s="8">
        <v>0</v>
      </c>
      <c r="AC73" s="151">
        <v>0</v>
      </c>
      <c r="AD73" s="8">
        <f t="shared" si="9"/>
        <v>0</v>
      </c>
      <c r="AF73" s="152">
        <v>0</v>
      </c>
      <c r="AG73" s="152">
        <v>0</v>
      </c>
    </row>
    <row r="74" spans="1:33" x14ac:dyDescent="0.25">
      <c r="A74" s="99">
        <f t="shared" si="10"/>
        <v>73</v>
      </c>
      <c r="B74" s="8">
        <v>1</v>
      </c>
      <c r="C74" s="8">
        <v>3.9036</v>
      </c>
      <c r="D74" s="8">
        <v>1.9357</v>
      </c>
      <c r="E74" s="8">
        <v>0</v>
      </c>
      <c r="F74" s="8">
        <v>0</v>
      </c>
      <c r="G74" s="8">
        <v>1</v>
      </c>
      <c r="H74" s="8">
        <v>1</v>
      </c>
      <c r="I74" s="8">
        <v>0</v>
      </c>
      <c r="J74" s="6">
        <v>22</v>
      </c>
      <c r="K74" s="8">
        <v>1</v>
      </c>
      <c r="L74" s="7">
        <v>1.05</v>
      </c>
      <c r="M74" s="100">
        <v>0.95</v>
      </c>
      <c r="N74" s="5" t="s">
        <v>71</v>
      </c>
      <c r="O74" s="57"/>
      <c r="P74" s="58"/>
      <c r="Q74" s="12">
        <v>103.71346666666666</v>
      </c>
      <c r="R74" s="12">
        <v>1.2761666666666667</v>
      </c>
      <c r="S74" s="136" t="s">
        <v>936</v>
      </c>
      <c r="T74" s="136">
        <v>1</v>
      </c>
      <c r="U74" s="151">
        <v>5</v>
      </c>
      <c r="V74" s="93">
        <f t="shared" si="7"/>
        <v>4.4795016300153172</v>
      </c>
      <c r="W74" s="93">
        <f t="shared" si="8"/>
        <v>2.2212755674814679</v>
      </c>
      <c r="X74" s="93">
        <f t="shared" si="6"/>
        <v>0.89590032600306346</v>
      </c>
      <c r="Z74" s="8">
        <v>3.62999998</v>
      </c>
      <c r="AA74" s="8">
        <v>1.7999999229999999</v>
      </c>
      <c r="AC74" s="151">
        <v>5</v>
      </c>
      <c r="AD74" s="8">
        <f t="shared" si="9"/>
        <v>4.9000000000000004</v>
      </c>
      <c r="AF74" s="152">
        <v>3.9036</v>
      </c>
      <c r="AG74" s="152">
        <v>1.9357</v>
      </c>
    </row>
    <row r="75" spans="1:33" x14ac:dyDescent="0.25">
      <c r="A75" s="99">
        <f t="shared" si="10"/>
        <v>74</v>
      </c>
      <c r="B75" s="8">
        <v>1</v>
      </c>
      <c r="C75" s="8">
        <v>0</v>
      </c>
      <c r="D75" s="8">
        <v>0</v>
      </c>
      <c r="E75" s="8">
        <v>0</v>
      </c>
      <c r="F75" s="8">
        <v>0</v>
      </c>
      <c r="G75" s="8">
        <v>1</v>
      </c>
      <c r="H75" s="8">
        <v>1</v>
      </c>
      <c r="I75" s="8">
        <v>0</v>
      </c>
      <c r="J75" s="6">
        <v>22</v>
      </c>
      <c r="K75" s="8">
        <v>1</v>
      </c>
      <c r="L75" s="7">
        <v>1.05</v>
      </c>
      <c r="M75" s="100">
        <v>0.95</v>
      </c>
      <c r="N75" s="5" t="s">
        <v>72</v>
      </c>
      <c r="O75" s="57"/>
      <c r="P75" s="58"/>
      <c r="Q75" s="12">
        <v>103.71421666666667</v>
      </c>
      <c r="R75" s="12">
        <v>1.2752166666666667</v>
      </c>
      <c r="S75" s="139"/>
      <c r="T75" s="139">
        <v>0</v>
      </c>
      <c r="U75" s="151">
        <v>0</v>
      </c>
      <c r="V75" s="93">
        <f t="shared" si="7"/>
        <v>0</v>
      </c>
      <c r="W75" s="93">
        <f t="shared" si="8"/>
        <v>0</v>
      </c>
      <c r="X75" s="93">
        <f t="shared" si="6"/>
        <v>0</v>
      </c>
      <c r="Z75" s="8">
        <v>0</v>
      </c>
      <c r="AA75" s="8">
        <v>0</v>
      </c>
      <c r="AC75" s="151">
        <v>0</v>
      </c>
      <c r="AD75" s="8">
        <f t="shared" si="9"/>
        <v>0</v>
      </c>
      <c r="AF75" s="152">
        <v>0</v>
      </c>
      <c r="AG75" s="152">
        <v>0</v>
      </c>
    </row>
    <row r="76" spans="1:33" x14ac:dyDescent="0.25">
      <c r="A76" s="99">
        <f t="shared" si="10"/>
        <v>75</v>
      </c>
      <c r="B76" s="8">
        <v>1</v>
      </c>
      <c r="C76" s="8">
        <v>2.4823</v>
      </c>
      <c r="D76" s="8">
        <v>1.26</v>
      </c>
      <c r="E76" s="8">
        <v>0</v>
      </c>
      <c r="F76" s="8">
        <v>0</v>
      </c>
      <c r="G76" s="8">
        <v>1</v>
      </c>
      <c r="H76" s="8">
        <v>1</v>
      </c>
      <c r="I76" s="8">
        <v>0</v>
      </c>
      <c r="J76" s="6">
        <v>22</v>
      </c>
      <c r="K76" s="8">
        <v>1</v>
      </c>
      <c r="L76" s="7">
        <v>1.05</v>
      </c>
      <c r="M76" s="100">
        <v>0.95</v>
      </c>
      <c r="N76" s="5" t="s">
        <v>74</v>
      </c>
      <c r="O76" s="57"/>
      <c r="P76" s="58"/>
      <c r="Q76" s="12">
        <v>103.71501666666667</v>
      </c>
      <c r="R76" s="12">
        <v>1.2739500000000001</v>
      </c>
      <c r="S76" s="136" t="s">
        <v>936</v>
      </c>
      <c r="T76" s="136">
        <v>1</v>
      </c>
      <c r="U76" s="151">
        <v>3</v>
      </c>
      <c r="V76" s="93">
        <f t="shared" si="7"/>
        <v>2.6751067080723545</v>
      </c>
      <c r="W76" s="93">
        <f t="shared" si="8"/>
        <v>1.357867482645597</v>
      </c>
      <c r="X76" s="93">
        <f t="shared" si="6"/>
        <v>0.89170223602411813</v>
      </c>
      <c r="Z76" s="8">
        <v>1.970000006</v>
      </c>
      <c r="AA76" s="8">
        <v>0.99999997799999996</v>
      </c>
      <c r="AC76" s="151">
        <v>3</v>
      </c>
      <c r="AD76" s="8">
        <f t="shared" si="9"/>
        <v>2.94</v>
      </c>
      <c r="AF76" s="152">
        <v>2.4823</v>
      </c>
      <c r="AG76" s="152">
        <v>1.26</v>
      </c>
    </row>
    <row r="77" spans="1:33" x14ac:dyDescent="0.25">
      <c r="A77" s="99">
        <f t="shared" si="10"/>
        <v>76</v>
      </c>
      <c r="B77" s="8">
        <v>1</v>
      </c>
      <c r="C77" s="8">
        <v>3.0773999999999999</v>
      </c>
      <c r="D77" s="8">
        <v>1.504</v>
      </c>
      <c r="E77" s="8">
        <v>0</v>
      </c>
      <c r="F77" s="8">
        <v>0</v>
      </c>
      <c r="G77" s="8">
        <v>1</v>
      </c>
      <c r="H77" s="8">
        <v>1</v>
      </c>
      <c r="I77" s="8">
        <v>0</v>
      </c>
      <c r="J77" s="6">
        <v>22</v>
      </c>
      <c r="K77" s="8">
        <v>1</v>
      </c>
      <c r="L77" s="7">
        <v>1.05</v>
      </c>
      <c r="M77" s="100">
        <v>0.95</v>
      </c>
      <c r="N77" s="5" t="s">
        <v>75</v>
      </c>
      <c r="O77" s="57"/>
      <c r="P77" s="58"/>
      <c r="Q77" s="12">
        <v>103.7157</v>
      </c>
      <c r="R77" s="12">
        <v>1.2732833333333333</v>
      </c>
      <c r="S77" s="136" t="s">
        <v>936</v>
      </c>
      <c r="T77" s="136">
        <v>1</v>
      </c>
      <c r="U77" s="151">
        <v>4</v>
      </c>
      <c r="V77" s="93">
        <f t="shared" si="7"/>
        <v>3.5937708777634891</v>
      </c>
      <c r="W77" s="93">
        <f t="shared" si="8"/>
        <v>1.7563629687906317</v>
      </c>
      <c r="X77" s="93">
        <f t="shared" si="6"/>
        <v>0.89844271944087228</v>
      </c>
      <c r="Z77" s="8">
        <v>2.6599999520000002</v>
      </c>
      <c r="AA77" s="8">
        <v>1.3000000270000001</v>
      </c>
      <c r="AC77" s="151">
        <v>4</v>
      </c>
      <c r="AD77" s="8">
        <f t="shared" si="9"/>
        <v>3.92</v>
      </c>
      <c r="AF77" s="152">
        <v>3.0773999999999999</v>
      </c>
      <c r="AG77" s="152">
        <v>1.504</v>
      </c>
    </row>
    <row r="78" spans="1:33" x14ac:dyDescent="0.25">
      <c r="A78" s="99">
        <f t="shared" si="10"/>
        <v>77</v>
      </c>
      <c r="B78" s="8">
        <v>1</v>
      </c>
      <c r="C78" s="8">
        <v>2.5249000000000001</v>
      </c>
      <c r="D78" s="8">
        <v>1.2511000000000001</v>
      </c>
      <c r="E78" s="8">
        <v>0</v>
      </c>
      <c r="F78" s="8">
        <v>0</v>
      </c>
      <c r="G78" s="8">
        <v>1</v>
      </c>
      <c r="H78" s="8">
        <v>1</v>
      </c>
      <c r="I78" s="8">
        <v>0</v>
      </c>
      <c r="J78" s="6">
        <v>22</v>
      </c>
      <c r="K78" s="8">
        <v>1</v>
      </c>
      <c r="L78" s="7">
        <v>1.05</v>
      </c>
      <c r="M78" s="100">
        <v>0.95</v>
      </c>
      <c r="N78" s="5" t="s">
        <v>76</v>
      </c>
      <c r="O78" s="57"/>
      <c r="P78" s="58"/>
      <c r="Q78" s="12">
        <v>103.71644999999999</v>
      </c>
      <c r="R78" s="12">
        <v>1.2729666666666666</v>
      </c>
      <c r="S78" s="136" t="s">
        <v>936</v>
      </c>
      <c r="T78" s="136">
        <v>1</v>
      </c>
      <c r="U78" s="151">
        <v>3</v>
      </c>
      <c r="V78" s="93">
        <f t="shared" si="7"/>
        <v>2.6880976039457485</v>
      </c>
      <c r="W78" s="93">
        <f t="shared" si="8"/>
        <v>1.3319651916101722</v>
      </c>
      <c r="X78" s="93">
        <f t="shared" si="6"/>
        <v>0.8960325346485829</v>
      </c>
      <c r="Z78" s="8">
        <v>2.2199999539999999</v>
      </c>
      <c r="AA78" s="8">
        <v>1.099999994</v>
      </c>
      <c r="AC78" s="151">
        <v>3</v>
      </c>
      <c r="AD78" s="8">
        <f t="shared" si="9"/>
        <v>2.94</v>
      </c>
      <c r="AF78" s="152">
        <v>2.5249000000000001</v>
      </c>
      <c r="AG78" s="152">
        <v>1.2511000000000001</v>
      </c>
    </row>
    <row r="79" spans="1:33" x14ac:dyDescent="0.25">
      <c r="A79" s="99">
        <f t="shared" si="10"/>
        <v>78</v>
      </c>
      <c r="B79" s="8">
        <v>1</v>
      </c>
      <c r="C79" s="8">
        <v>0</v>
      </c>
      <c r="D79" s="8">
        <v>0</v>
      </c>
      <c r="E79" s="8">
        <v>0</v>
      </c>
      <c r="F79" s="8">
        <v>0</v>
      </c>
      <c r="G79" s="8">
        <v>1</v>
      </c>
      <c r="H79" s="8">
        <v>1</v>
      </c>
      <c r="I79" s="8">
        <v>0</v>
      </c>
      <c r="J79" s="6">
        <v>22</v>
      </c>
      <c r="K79" s="8">
        <v>1</v>
      </c>
      <c r="L79" s="7">
        <v>1.05</v>
      </c>
      <c r="M79" s="100">
        <v>0.95</v>
      </c>
      <c r="N79" s="5" t="s">
        <v>65</v>
      </c>
      <c r="O79" s="57"/>
      <c r="P79" s="58"/>
      <c r="Q79" s="12">
        <v>103.71208333333334</v>
      </c>
      <c r="R79" s="12">
        <v>1.2762833333333334</v>
      </c>
      <c r="S79" s="139"/>
      <c r="T79" s="139">
        <v>0</v>
      </c>
      <c r="U79" s="151">
        <v>0</v>
      </c>
      <c r="V79" s="93">
        <f t="shared" si="7"/>
        <v>0</v>
      </c>
      <c r="W79" s="93">
        <f t="shared" si="8"/>
        <v>0</v>
      </c>
      <c r="X79" s="93">
        <f t="shared" si="6"/>
        <v>0</v>
      </c>
      <c r="Z79" s="8">
        <v>0</v>
      </c>
      <c r="AA79" s="8">
        <v>0</v>
      </c>
      <c r="AC79" s="151">
        <v>0</v>
      </c>
      <c r="AD79" s="8">
        <f t="shared" si="9"/>
        <v>0</v>
      </c>
      <c r="AF79" s="152">
        <v>0</v>
      </c>
      <c r="AG79" s="152">
        <v>0</v>
      </c>
    </row>
    <row r="80" spans="1:33" x14ac:dyDescent="0.25">
      <c r="A80" s="99">
        <f t="shared" si="10"/>
        <v>79</v>
      </c>
      <c r="B80" s="8">
        <v>1</v>
      </c>
      <c r="C80" s="8">
        <v>0</v>
      </c>
      <c r="D80" s="8">
        <v>0</v>
      </c>
      <c r="E80" s="8">
        <v>0</v>
      </c>
      <c r="F80" s="8">
        <v>0</v>
      </c>
      <c r="G80" s="8">
        <v>1</v>
      </c>
      <c r="H80" s="8">
        <v>1</v>
      </c>
      <c r="I80" s="8">
        <v>0</v>
      </c>
      <c r="J80" s="6">
        <v>22</v>
      </c>
      <c r="K80" s="8">
        <v>1</v>
      </c>
      <c r="L80" s="7">
        <v>1.05</v>
      </c>
      <c r="M80" s="100">
        <v>0.95</v>
      </c>
      <c r="N80" s="5" t="s">
        <v>66</v>
      </c>
      <c r="O80" s="57"/>
      <c r="P80" s="58"/>
      <c r="Q80" s="12">
        <v>103.71133333333333</v>
      </c>
      <c r="R80" s="12">
        <v>1.2769166666666667</v>
      </c>
      <c r="S80" s="139"/>
      <c r="T80" s="139">
        <v>0</v>
      </c>
      <c r="U80" s="151">
        <v>0</v>
      </c>
      <c r="V80" s="93">
        <f t="shared" si="7"/>
        <v>0</v>
      </c>
      <c r="W80" s="93">
        <f t="shared" si="8"/>
        <v>0</v>
      </c>
      <c r="X80" s="93">
        <f t="shared" si="6"/>
        <v>0</v>
      </c>
      <c r="Z80" s="8">
        <v>0</v>
      </c>
      <c r="AA80" s="8">
        <v>0</v>
      </c>
      <c r="AC80" s="151">
        <v>0</v>
      </c>
      <c r="AD80" s="8">
        <f t="shared" si="9"/>
        <v>0</v>
      </c>
      <c r="AF80" s="152">
        <v>0</v>
      </c>
      <c r="AG80" s="152">
        <v>0</v>
      </c>
    </row>
    <row r="81" spans="1:33" x14ac:dyDescent="0.25">
      <c r="A81" s="99">
        <f t="shared" si="10"/>
        <v>80</v>
      </c>
      <c r="B81" s="8">
        <v>1</v>
      </c>
      <c r="C81" s="8">
        <v>3.8778000000000001</v>
      </c>
      <c r="D81" s="8">
        <v>1.9389000000000001</v>
      </c>
      <c r="E81" s="8">
        <v>0</v>
      </c>
      <c r="F81" s="8">
        <v>0</v>
      </c>
      <c r="G81" s="8">
        <v>1</v>
      </c>
      <c r="H81" s="8">
        <v>1</v>
      </c>
      <c r="I81" s="8">
        <v>0</v>
      </c>
      <c r="J81" s="6">
        <v>22</v>
      </c>
      <c r="K81" s="8">
        <v>1</v>
      </c>
      <c r="L81" s="7">
        <v>1.05</v>
      </c>
      <c r="M81" s="100">
        <v>0.95</v>
      </c>
      <c r="N81" s="5" t="s">
        <v>68</v>
      </c>
      <c r="O81" s="57"/>
      <c r="P81" s="58"/>
      <c r="Q81" s="12">
        <v>103.71098333333333</v>
      </c>
      <c r="R81" s="12">
        <v>1.2757499999999999</v>
      </c>
      <c r="S81" s="136" t="s">
        <v>946</v>
      </c>
      <c r="T81" s="136">
        <v>1</v>
      </c>
      <c r="U81" s="151">
        <v>5</v>
      </c>
      <c r="V81" s="93">
        <f t="shared" si="7"/>
        <v>4.4721359549995796</v>
      </c>
      <c r="W81" s="93">
        <f t="shared" si="8"/>
        <v>2.2360679774997889</v>
      </c>
      <c r="X81" s="93">
        <f t="shared" si="6"/>
        <v>0.89442719099991586</v>
      </c>
      <c r="Z81" s="8">
        <v>1.4000000429999999</v>
      </c>
      <c r="AA81" s="8">
        <v>0.700000022</v>
      </c>
      <c r="AC81" s="151">
        <v>5</v>
      </c>
      <c r="AD81" s="8">
        <f t="shared" si="9"/>
        <v>4.9000000000000004</v>
      </c>
      <c r="AF81" s="152">
        <v>3.8778000000000001</v>
      </c>
      <c r="AG81" s="152">
        <v>1.9389000000000001</v>
      </c>
    </row>
    <row r="82" spans="1:33" x14ac:dyDescent="0.25">
      <c r="A82" s="99">
        <f t="shared" si="10"/>
        <v>81</v>
      </c>
      <c r="B82" s="8">
        <v>1</v>
      </c>
      <c r="C82" s="8">
        <v>0</v>
      </c>
      <c r="D82" s="8">
        <v>0</v>
      </c>
      <c r="E82" s="8">
        <v>0</v>
      </c>
      <c r="F82" s="8">
        <v>0</v>
      </c>
      <c r="G82" s="8">
        <v>1</v>
      </c>
      <c r="H82" s="8">
        <v>1</v>
      </c>
      <c r="I82" s="8">
        <v>0</v>
      </c>
      <c r="J82" s="6">
        <v>22</v>
      </c>
      <c r="K82" s="8">
        <v>1</v>
      </c>
      <c r="L82" s="7">
        <v>1.05</v>
      </c>
      <c r="M82" s="100">
        <v>0.95</v>
      </c>
      <c r="N82" s="5" t="s">
        <v>67</v>
      </c>
      <c r="O82" s="57"/>
      <c r="P82" s="58"/>
      <c r="Q82" s="12">
        <v>103.70981666666667</v>
      </c>
      <c r="R82" s="12">
        <v>1.2747666666666666</v>
      </c>
      <c r="S82" s="139"/>
      <c r="T82" s="139">
        <v>0</v>
      </c>
      <c r="U82" s="151">
        <v>0</v>
      </c>
      <c r="V82" s="93">
        <f t="shared" si="7"/>
        <v>0</v>
      </c>
      <c r="W82" s="93">
        <f t="shared" si="8"/>
        <v>0</v>
      </c>
      <c r="X82" s="93">
        <f t="shared" si="6"/>
        <v>0</v>
      </c>
      <c r="Z82" s="8">
        <v>0</v>
      </c>
      <c r="AA82" s="8">
        <v>0</v>
      </c>
      <c r="AC82" s="151">
        <v>0</v>
      </c>
      <c r="AD82" s="8">
        <f t="shared" si="9"/>
        <v>0</v>
      </c>
      <c r="AF82" s="152">
        <v>0</v>
      </c>
      <c r="AG82" s="152">
        <v>0</v>
      </c>
    </row>
    <row r="83" spans="1:33" x14ac:dyDescent="0.25">
      <c r="A83" s="99">
        <f t="shared" si="10"/>
        <v>82</v>
      </c>
      <c r="B83" s="8">
        <v>1</v>
      </c>
      <c r="C83" s="8">
        <v>4.7885999999999997</v>
      </c>
      <c r="D83" s="8">
        <v>2.44</v>
      </c>
      <c r="E83" s="8">
        <v>0</v>
      </c>
      <c r="F83" s="8">
        <v>0</v>
      </c>
      <c r="G83" s="8">
        <v>1</v>
      </c>
      <c r="H83" s="8">
        <v>1</v>
      </c>
      <c r="I83" s="8">
        <v>0</v>
      </c>
      <c r="J83" s="6">
        <v>22</v>
      </c>
      <c r="K83" s="8">
        <v>1</v>
      </c>
      <c r="L83" s="7">
        <v>1.05</v>
      </c>
      <c r="M83" s="100">
        <v>0.95</v>
      </c>
      <c r="N83" s="5" t="s">
        <v>81</v>
      </c>
      <c r="O83" s="57"/>
      <c r="P83" s="58"/>
      <c r="Q83" s="12">
        <v>103.71513333333333</v>
      </c>
      <c r="R83" s="12">
        <v>1.2712666666666665</v>
      </c>
      <c r="S83" s="136" t="s">
        <v>936</v>
      </c>
      <c r="T83" s="136">
        <v>1</v>
      </c>
      <c r="U83" s="151">
        <v>6</v>
      </c>
      <c r="V83" s="93">
        <f t="shared" si="7"/>
        <v>5.3460001121699818</v>
      </c>
      <c r="W83" s="93">
        <f t="shared" si="8"/>
        <v>2.7240196035782382</v>
      </c>
      <c r="X83" s="93">
        <f t="shared" si="6"/>
        <v>0.89100001869499701</v>
      </c>
      <c r="Z83" s="8">
        <v>1.5699999410000001</v>
      </c>
      <c r="AA83" s="8">
        <v>0.80000003799999997</v>
      </c>
      <c r="AC83" s="151">
        <v>6</v>
      </c>
      <c r="AD83" s="8">
        <f t="shared" si="9"/>
        <v>5.88</v>
      </c>
      <c r="AF83" s="152">
        <v>4.7885999999999997</v>
      </c>
      <c r="AG83" s="152">
        <v>2.44</v>
      </c>
    </row>
    <row r="84" spans="1:33" x14ac:dyDescent="0.25">
      <c r="A84" s="99">
        <f t="shared" si="10"/>
        <v>83</v>
      </c>
      <c r="B84" s="8">
        <v>1</v>
      </c>
      <c r="C84" s="8">
        <v>0.74270000000000003</v>
      </c>
      <c r="D84" s="8">
        <v>0.51839999999999997</v>
      </c>
      <c r="E84" s="8">
        <v>0</v>
      </c>
      <c r="F84" s="8">
        <v>0</v>
      </c>
      <c r="G84" s="8">
        <v>1</v>
      </c>
      <c r="H84" s="8">
        <v>1</v>
      </c>
      <c r="I84" s="8">
        <v>0</v>
      </c>
      <c r="J84" s="6">
        <v>22</v>
      </c>
      <c r="K84" s="8">
        <v>1</v>
      </c>
      <c r="L84" s="7">
        <v>1.05</v>
      </c>
      <c r="M84" s="100">
        <v>0.95</v>
      </c>
      <c r="N84" s="5" t="s">
        <v>82</v>
      </c>
      <c r="O84" s="57"/>
      <c r="P84" s="58"/>
      <c r="Q84" s="12">
        <v>103.71015</v>
      </c>
      <c r="R84" s="12">
        <v>1.2730166666666667</v>
      </c>
      <c r="S84" s="134" t="s">
        <v>928</v>
      </c>
      <c r="T84" s="134">
        <v>2</v>
      </c>
      <c r="U84" s="151">
        <v>1</v>
      </c>
      <c r="V84" s="93">
        <f t="shared" si="7"/>
        <v>0.82</v>
      </c>
      <c r="W84" s="93">
        <f t="shared" si="8"/>
        <v>0.57236352085016751</v>
      </c>
      <c r="X84" s="93">
        <v>0.82</v>
      </c>
      <c r="Z84" s="8">
        <v>4.3099999430000002</v>
      </c>
      <c r="AA84" s="8">
        <v>2.1500000730000002</v>
      </c>
      <c r="AC84" s="151">
        <v>1</v>
      </c>
      <c r="AD84" s="8">
        <f t="shared" si="9"/>
        <v>0.98</v>
      </c>
      <c r="AF84" s="152">
        <v>0.74270000000000003</v>
      </c>
      <c r="AG84" s="152">
        <v>0.51839999999999997</v>
      </c>
    </row>
    <row r="85" spans="1:33" x14ac:dyDescent="0.25">
      <c r="A85" s="99">
        <f t="shared" si="10"/>
        <v>84</v>
      </c>
      <c r="B85" s="8">
        <v>1</v>
      </c>
      <c r="C85" s="8">
        <v>22.050799999999999</v>
      </c>
      <c r="D85" s="8">
        <v>11.0388</v>
      </c>
      <c r="E85" s="8">
        <v>0</v>
      </c>
      <c r="F85" s="8">
        <v>0</v>
      </c>
      <c r="G85" s="8">
        <v>1</v>
      </c>
      <c r="H85" s="8">
        <v>1</v>
      </c>
      <c r="I85" s="8">
        <v>0</v>
      </c>
      <c r="J85" s="104">
        <v>66</v>
      </c>
      <c r="K85" s="8">
        <v>1</v>
      </c>
      <c r="L85" s="7">
        <v>1.05</v>
      </c>
      <c r="M85" s="100">
        <v>0.95</v>
      </c>
      <c r="N85" s="5" t="s">
        <v>155</v>
      </c>
      <c r="O85" s="57"/>
      <c r="P85" s="58"/>
      <c r="Q85" s="12">
        <v>103.7174</v>
      </c>
      <c r="R85" s="12">
        <v>1.2706166666666667</v>
      </c>
      <c r="S85" s="137" t="s">
        <v>940</v>
      </c>
      <c r="T85" s="137">
        <v>3</v>
      </c>
      <c r="U85" s="151">
        <v>25</v>
      </c>
      <c r="V85" s="93">
        <f t="shared" si="7"/>
        <v>22.355243131359952</v>
      </c>
      <c r="W85" s="93">
        <f t="shared" si="8"/>
        <v>11.19120657202715</v>
      </c>
      <c r="X85" s="93">
        <f t="shared" si="6"/>
        <v>0.89420972525439812</v>
      </c>
      <c r="Z85" s="8">
        <v>32.960000630000003</v>
      </c>
      <c r="AA85" s="8">
        <v>16.500000660000001</v>
      </c>
      <c r="AC85" s="151">
        <v>25</v>
      </c>
      <c r="AD85" s="8">
        <f t="shared" si="9"/>
        <v>24.5</v>
      </c>
      <c r="AF85" s="152">
        <v>22.050799999999999</v>
      </c>
      <c r="AG85" s="152">
        <v>11.0388</v>
      </c>
    </row>
    <row r="86" spans="1:33" x14ac:dyDescent="0.25">
      <c r="A86" s="99">
        <f t="shared" si="10"/>
        <v>85</v>
      </c>
      <c r="B86" s="8">
        <v>1</v>
      </c>
      <c r="C86" s="8">
        <v>0.84750000000000003</v>
      </c>
      <c r="D86" s="8">
        <v>0.42730000000000001</v>
      </c>
      <c r="E86" s="8">
        <v>0</v>
      </c>
      <c r="F86" s="8">
        <v>0</v>
      </c>
      <c r="G86" s="8">
        <v>1</v>
      </c>
      <c r="H86" s="8">
        <v>1</v>
      </c>
      <c r="I86" s="8">
        <v>0</v>
      </c>
      <c r="J86" s="6">
        <v>22</v>
      </c>
      <c r="K86" s="8">
        <v>1</v>
      </c>
      <c r="L86" s="7">
        <v>1.05</v>
      </c>
      <c r="M86" s="100">
        <v>0.95</v>
      </c>
      <c r="N86" s="5" t="s">
        <v>137</v>
      </c>
      <c r="O86" s="57"/>
      <c r="P86" s="58"/>
      <c r="Q86" s="12">
        <v>103.709</v>
      </c>
      <c r="R86" s="12">
        <v>1.26285</v>
      </c>
      <c r="S86" s="136" t="s">
        <v>941</v>
      </c>
      <c r="T86" s="136">
        <v>1</v>
      </c>
      <c r="U86" s="151">
        <v>1</v>
      </c>
      <c r="V86" s="93">
        <f t="shared" si="7"/>
        <v>0.8929260737562511</v>
      </c>
      <c r="W86" s="93">
        <f t="shared" si="8"/>
        <v>0.45020331718707501</v>
      </c>
      <c r="X86" s="93">
        <f t="shared" si="6"/>
        <v>0.8929260737562511</v>
      </c>
      <c r="Z86" s="8">
        <v>1.190000027</v>
      </c>
      <c r="AA86" s="8">
        <v>0.60000000499999995</v>
      </c>
      <c r="AC86" s="151">
        <v>1</v>
      </c>
      <c r="AD86" s="8">
        <f t="shared" si="9"/>
        <v>0.98</v>
      </c>
      <c r="AF86" s="152">
        <v>0.84750000000000003</v>
      </c>
      <c r="AG86" s="152">
        <v>0.42730000000000001</v>
      </c>
    </row>
    <row r="87" spans="1:33" x14ac:dyDescent="0.25">
      <c r="A87" s="99">
        <f t="shared" si="10"/>
        <v>86</v>
      </c>
      <c r="B87" s="8">
        <v>1</v>
      </c>
      <c r="C87" s="8">
        <v>4.3613999999999997</v>
      </c>
      <c r="D87" s="8">
        <v>2.1806999999999999</v>
      </c>
      <c r="E87" s="8">
        <v>0</v>
      </c>
      <c r="F87" s="8">
        <v>0</v>
      </c>
      <c r="G87" s="8">
        <v>1</v>
      </c>
      <c r="H87" s="8">
        <v>1</v>
      </c>
      <c r="I87" s="8">
        <v>0</v>
      </c>
      <c r="J87" s="6">
        <v>22</v>
      </c>
      <c r="K87" s="8">
        <v>1</v>
      </c>
      <c r="L87" s="7">
        <v>1.05</v>
      </c>
      <c r="M87" s="100">
        <v>0.95</v>
      </c>
      <c r="N87" s="5" t="s">
        <v>157</v>
      </c>
      <c r="O87" s="57"/>
      <c r="P87" s="58"/>
      <c r="Q87" s="12">
        <v>103.72735</v>
      </c>
      <c r="R87" s="12">
        <v>1.2660166666666668</v>
      </c>
      <c r="S87" s="136" t="s">
        <v>936</v>
      </c>
      <c r="T87" s="136">
        <v>1</v>
      </c>
      <c r="U87" s="151">
        <v>5</v>
      </c>
      <c r="V87" s="93">
        <f t="shared" si="7"/>
        <v>4.4721359549995796</v>
      </c>
      <c r="W87" s="93">
        <f t="shared" si="8"/>
        <v>2.2360679774997889</v>
      </c>
      <c r="X87" s="93">
        <f t="shared" si="6"/>
        <v>0.89442719099991586</v>
      </c>
      <c r="Z87" s="8">
        <v>2.500000037</v>
      </c>
      <c r="AA87" s="8">
        <v>1.250000019</v>
      </c>
      <c r="AC87" s="151">
        <v>5</v>
      </c>
      <c r="AD87" s="8">
        <f t="shared" si="9"/>
        <v>4.9000000000000004</v>
      </c>
      <c r="AF87" s="152">
        <v>4.3613999999999997</v>
      </c>
      <c r="AG87" s="152">
        <v>2.1806999999999999</v>
      </c>
    </row>
    <row r="88" spans="1:33" x14ac:dyDescent="0.25">
      <c r="A88" s="99">
        <f t="shared" si="10"/>
        <v>87</v>
      </c>
      <c r="B88" s="8">
        <v>1</v>
      </c>
      <c r="C88" s="8">
        <v>0</v>
      </c>
      <c r="D88" s="8">
        <v>0</v>
      </c>
      <c r="E88" s="8">
        <v>0</v>
      </c>
      <c r="F88" s="8">
        <v>0</v>
      </c>
      <c r="G88" s="8">
        <v>1</v>
      </c>
      <c r="H88" s="8">
        <v>1</v>
      </c>
      <c r="I88" s="8">
        <v>0</v>
      </c>
      <c r="J88" s="6">
        <v>22</v>
      </c>
      <c r="K88" s="8">
        <v>1</v>
      </c>
      <c r="L88" s="7">
        <v>1.05</v>
      </c>
      <c r="M88" s="100">
        <v>0.95</v>
      </c>
      <c r="N88" s="5" t="s">
        <v>156</v>
      </c>
      <c r="O88" s="57"/>
      <c r="P88" s="58"/>
      <c r="Q88" s="12">
        <v>103.72750000000001</v>
      </c>
      <c r="R88" s="12">
        <v>1.2658666666666667</v>
      </c>
      <c r="S88" s="139"/>
      <c r="T88" s="139">
        <v>0</v>
      </c>
      <c r="U88" s="151">
        <v>0</v>
      </c>
      <c r="V88" s="93">
        <f t="shared" si="7"/>
        <v>0</v>
      </c>
      <c r="W88" s="93">
        <f t="shared" si="8"/>
        <v>0</v>
      </c>
      <c r="X88" s="93">
        <f t="shared" si="6"/>
        <v>0</v>
      </c>
      <c r="Z88" s="8">
        <v>0</v>
      </c>
      <c r="AA88" s="8">
        <v>0</v>
      </c>
      <c r="AC88" s="151">
        <v>0</v>
      </c>
      <c r="AD88" s="8">
        <f t="shared" si="9"/>
        <v>0</v>
      </c>
      <c r="AF88" s="152">
        <v>0</v>
      </c>
      <c r="AG88" s="152">
        <v>0</v>
      </c>
    </row>
    <row r="89" spans="1:33" x14ac:dyDescent="0.25">
      <c r="A89" s="99">
        <f t="shared" si="10"/>
        <v>88</v>
      </c>
      <c r="B89" s="8">
        <v>1</v>
      </c>
      <c r="C89" s="8">
        <v>29.443100000000001</v>
      </c>
      <c r="D89" s="8">
        <v>14.0764</v>
      </c>
      <c r="E89" s="8">
        <v>0</v>
      </c>
      <c r="F89" s="8">
        <v>0</v>
      </c>
      <c r="G89" s="8">
        <v>1</v>
      </c>
      <c r="H89" s="8">
        <v>1</v>
      </c>
      <c r="I89" s="8">
        <v>0</v>
      </c>
      <c r="J89" s="104">
        <v>66</v>
      </c>
      <c r="K89" s="8">
        <v>1</v>
      </c>
      <c r="L89" s="7">
        <v>1.05</v>
      </c>
      <c r="M89" s="100">
        <v>0.95</v>
      </c>
      <c r="N89" s="5" t="s">
        <v>92</v>
      </c>
      <c r="O89" s="57"/>
      <c r="P89" s="58"/>
      <c r="Q89" s="12">
        <v>103.72503333333333</v>
      </c>
      <c r="R89" s="12">
        <v>1.2668999999999999</v>
      </c>
      <c r="S89" s="137" t="s">
        <v>940</v>
      </c>
      <c r="T89" s="137">
        <v>3</v>
      </c>
      <c r="U89" s="151">
        <v>36</v>
      </c>
      <c r="V89" s="93">
        <f t="shared" si="7"/>
        <v>32.479013951746715</v>
      </c>
      <c r="W89" s="93">
        <f t="shared" si="8"/>
        <v>15.527834772505864</v>
      </c>
      <c r="X89" s="93">
        <f t="shared" ref="X89:X120" si="11">IF(C89&gt;0, C89/SQRT(C89*C89+D89*D89), 0)</f>
        <v>0.90219483199296424</v>
      </c>
      <c r="Z89" s="8">
        <v>25.099998710000001</v>
      </c>
      <c r="AA89" s="8">
        <v>11.999999730000001</v>
      </c>
      <c r="AC89" s="151">
        <v>36</v>
      </c>
      <c r="AD89" s="8">
        <f t="shared" si="9"/>
        <v>35.28</v>
      </c>
      <c r="AF89" s="152">
        <v>29.443100000000001</v>
      </c>
      <c r="AG89" s="152">
        <v>14.0764</v>
      </c>
    </row>
    <row r="90" spans="1:33" x14ac:dyDescent="0.25">
      <c r="A90" s="99">
        <f t="shared" si="10"/>
        <v>89</v>
      </c>
      <c r="B90" s="8">
        <v>1</v>
      </c>
      <c r="C90" s="8">
        <v>9.9232999999999993</v>
      </c>
      <c r="D90" s="8">
        <v>4.9124999999999996</v>
      </c>
      <c r="E90" s="8">
        <v>0</v>
      </c>
      <c r="F90" s="8">
        <v>0</v>
      </c>
      <c r="G90" s="8">
        <v>1</v>
      </c>
      <c r="H90" s="8">
        <v>1</v>
      </c>
      <c r="I90" s="8">
        <v>0</v>
      </c>
      <c r="J90" s="6">
        <v>22</v>
      </c>
      <c r="K90" s="8">
        <v>1</v>
      </c>
      <c r="L90" s="7">
        <v>1.05</v>
      </c>
      <c r="M90" s="100">
        <v>0.95</v>
      </c>
      <c r="N90" s="5" t="s">
        <v>100</v>
      </c>
      <c r="O90" s="57"/>
      <c r="P90" s="58"/>
      <c r="Q90" s="12">
        <v>103.7165</v>
      </c>
      <c r="R90" s="12">
        <v>1.2669666666666668</v>
      </c>
      <c r="S90" s="137" t="s">
        <v>942</v>
      </c>
      <c r="T90" s="137">
        <v>3</v>
      </c>
      <c r="U90" s="151">
        <v>12</v>
      </c>
      <c r="V90" s="93">
        <f t="shared" si="7"/>
        <v>10.754348169284606</v>
      </c>
      <c r="W90" s="93">
        <f t="shared" si="8"/>
        <v>5.3239079118449109</v>
      </c>
      <c r="X90" s="93">
        <f t="shared" si="11"/>
        <v>0.89619568077371714</v>
      </c>
      <c r="Z90" s="8">
        <v>6.0600001360000002</v>
      </c>
      <c r="AA90" s="8">
        <v>2.9999999329999998</v>
      </c>
      <c r="AC90" s="151">
        <v>12</v>
      </c>
      <c r="AD90" s="8">
        <f t="shared" si="9"/>
        <v>11.76</v>
      </c>
      <c r="AF90" s="152">
        <v>9.9232999999999993</v>
      </c>
      <c r="AG90" s="152">
        <v>4.9124999999999996</v>
      </c>
    </row>
    <row r="91" spans="1:33" x14ac:dyDescent="0.25">
      <c r="A91" s="99">
        <f t="shared" si="10"/>
        <v>90</v>
      </c>
      <c r="B91" s="8">
        <v>1</v>
      </c>
      <c r="C91" s="8">
        <v>16.0337</v>
      </c>
      <c r="D91" s="8">
        <v>7.9016000000000002</v>
      </c>
      <c r="E91" s="8">
        <v>0</v>
      </c>
      <c r="F91" s="8">
        <v>0</v>
      </c>
      <c r="G91" s="8">
        <v>1</v>
      </c>
      <c r="H91" s="8">
        <v>1</v>
      </c>
      <c r="I91" s="8">
        <v>0</v>
      </c>
      <c r="J91" s="6">
        <v>22</v>
      </c>
      <c r="K91" s="8">
        <v>1</v>
      </c>
      <c r="L91" s="7">
        <v>1.05</v>
      </c>
      <c r="M91" s="100">
        <v>0.95</v>
      </c>
      <c r="N91" s="5" t="s">
        <v>103</v>
      </c>
      <c r="O91" s="57"/>
      <c r="P91" s="58"/>
      <c r="Q91" s="12">
        <v>103.71546666666667</v>
      </c>
      <c r="R91" s="12">
        <v>1.2650333333333332</v>
      </c>
      <c r="S91" s="137" t="s">
        <v>942</v>
      </c>
      <c r="T91" s="137">
        <v>3</v>
      </c>
      <c r="U91" s="151">
        <v>18</v>
      </c>
      <c r="V91" s="93">
        <f t="shared" si="7"/>
        <v>16.145844159683893</v>
      </c>
      <c r="W91" s="93">
        <f t="shared" si="8"/>
        <v>7.95686598926999</v>
      </c>
      <c r="X91" s="93">
        <f t="shared" si="11"/>
        <v>0.8969913422046607</v>
      </c>
      <c r="Z91" s="8">
        <v>4.8700001090000002</v>
      </c>
      <c r="AA91" s="8">
        <v>2.4000000209999999</v>
      </c>
      <c r="AC91" s="151">
        <v>18</v>
      </c>
      <c r="AD91" s="8">
        <f t="shared" si="9"/>
        <v>17.64</v>
      </c>
      <c r="AF91" s="152">
        <v>16.0337</v>
      </c>
      <c r="AG91" s="152">
        <v>7.9016000000000002</v>
      </c>
    </row>
    <row r="92" spans="1:33" x14ac:dyDescent="0.25">
      <c r="A92" s="99">
        <f t="shared" si="10"/>
        <v>91</v>
      </c>
      <c r="B92" s="8">
        <v>1</v>
      </c>
      <c r="C92" s="8">
        <v>0</v>
      </c>
      <c r="D92" s="8">
        <v>0</v>
      </c>
      <c r="E92" s="8">
        <v>0</v>
      </c>
      <c r="F92" s="8">
        <v>0</v>
      </c>
      <c r="G92" s="8">
        <v>1</v>
      </c>
      <c r="H92" s="8">
        <v>1</v>
      </c>
      <c r="I92" s="8">
        <v>0</v>
      </c>
      <c r="J92" s="6">
        <v>22</v>
      </c>
      <c r="K92" s="8">
        <v>1</v>
      </c>
      <c r="L92" s="7">
        <v>1.05</v>
      </c>
      <c r="M92" s="100">
        <v>0.95</v>
      </c>
      <c r="N92" s="5" t="s">
        <v>90</v>
      </c>
      <c r="O92" s="57"/>
      <c r="P92" s="58"/>
      <c r="Q92" s="12">
        <v>103.72508333333333</v>
      </c>
      <c r="R92" s="12">
        <v>1.2633666666666667</v>
      </c>
      <c r="S92" s="139"/>
      <c r="T92" s="139">
        <v>0</v>
      </c>
      <c r="U92" s="151">
        <v>0</v>
      </c>
      <c r="V92" s="93">
        <f t="shared" si="7"/>
        <v>0</v>
      </c>
      <c r="W92" s="93">
        <f t="shared" si="8"/>
        <v>0</v>
      </c>
      <c r="X92" s="93">
        <f t="shared" si="11"/>
        <v>0</v>
      </c>
      <c r="Z92" s="8">
        <v>0</v>
      </c>
      <c r="AA92" s="8">
        <v>0</v>
      </c>
      <c r="AC92" s="151">
        <v>0</v>
      </c>
      <c r="AD92" s="8">
        <f t="shared" si="9"/>
        <v>0</v>
      </c>
      <c r="AF92" s="152">
        <v>0</v>
      </c>
      <c r="AG92" s="152">
        <v>0</v>
      </c>
    </row>
    <row r="93" spans="1:33" x14ac:dyDescent="0.25">
      <c r="A93" s="99">
        <f t="shared" si="10"/>
        <v>92</v>
      </c>
      <c r="B93" s="8">
        <v>1</v>
      </c>
      <c r="C93" s="8">
        <v>0</v>
      </c>
      <c r="D93" s="8">
        <v>0</v>
      </c>
      <c r="E93" s="8">
        <v>0</v>
      </c>
      <c r="F93" s="8">
        <v>0</v>
      </c>
      <c r="G93" s="8">
        <v>1</v>
      </c>
      <c r="H93" s="8">
        <v>1</v>
      </c>
      <c r="I93" s="8">
        <v>0</v>
      </c>
      <c r="J93" s="6">
        <v>22</v>
      </c>
      <c r="K93" s="8">
        <v>1</v>
      </c>
      <c r="L93" s="7">
        <v>1.05</v>
      </c>
      <c r="M93" s="100">
        <v>0.95</v>
      </c>
      <c r="N93" s="5" t="s">
        <v>91</v>
      </c>
      <c r="O93" s="57"/>
      <c r="P93" s="58"/>
      <c r="Q93" s="12">
        <v>103.72476666666667</v>
      </c>
      <c r="R93" s="12">
        <v>1.2631000000000001</v>
      </c>
      <c r="S93" s="139"/>
      <c r="T93" s="139">
        <v>0</v>
      </c>
      <c r="U93" s="151">
        <v>0</v>
      </c>
      <c r="V93" s="93">
        <f t="shared" si="7"/>
        <v>0</v>
      </c>
      <c r="W93" s="93">
        <f t="shared" si="8"/>
        <v>0</v>
      </c>
      <c r="X93" s="93">
        <f t="shared" si="11"/>
        <v>0</v>
      </c>
      <c r="Z93" s="8">
        <v>0</v>
      </c>
      <c r="AA93" s="8">
        <v>0</v>
      </c>
      <c r="AC93" s="151">
        <v>0</v>
      </c>
      <c r="AD93" s="8">
        <f t="shared" si="9"/>
        <v>0</v>
      </c>
      <c r="AF93" s="152">
        <v>0</v>
      </c>
      <c r="AG93" s="152">
        <v>0</v>
      </c>
    </row>
    <row r="94" spans="1:33" x14ac:dyDescent="0.25">
      <c r="A94" s="99">
        <f t="shared" si="10"/>
        <v>93</v>
      </c>
      <c r="B94" s="8">
        <v>1</v>
      </c>
      <c r="C94" s="8">
        <v>178.19499999999999</v>
      </c>
      <c r="D94" s="8">
        <v>87.911699999999996</v>
      </c>
      <c r="E94" s="8">
        <v>0</v>
      </c>
      <c r="F94" s="8">
        <v>0</v>
      </c>
      <c r="G94" s="8">
        <v>1</v>
      </c>
      <c r="H94" s="8">
        <v>1</v>
      </c>
      <c r="I94" s="8">
        <v>0</v>
      </c>
      <c r="J94" s="105">
        <v>230</v>
      </c>
      <c r="K94" s="8">
        <v>1</v>
      </c>
      <c r="L94" s="7">
        <v>1.05</v>
      </c>
      <c r="M94" s="100">
        <v>0.95</v>
      </c>
      <c r="N94" s="5" t="s">
        <v>184</v>
      </c>
      <c r="O94" s="57"/>
      <c r="P94" s="58"/>
      <c r="Q94" s="12">
        <v>103.70505</v>
      </c>
      <c r="R94" s="12">
        <v>1.2692666666666668</v>
      </c>
      <c r="S94" s="137" t="s">
        <v>940</v>
      </c>
      <c r="T94" s="137">
        <v>3</v>
      </c>
      <c r="U94" s="151">
        <v>220</v>
      </c>
      <c r="V94" s="93">
        <f t="shared" si="7"/>
        <v>197.29634282511239</v>
      </c>
      <c r="W94" s="93">
        <f t="shared" si="8"/>
        <v>97.335261379603452</v>
      </c>
      <c r="X94" s="93">
        <f t="shared" si="11"/>
        <v>0.89680155829596542</v>
      </c>
      <c r="Z94" s="8">
        <v>87.160003189999998</v>
      </c>
      <c r="AA94" s="8">
        <v>43.000000720000003</v>
      </c>
      <c r="AC94" s="151">
        <v>220</v>
      </c>
      <c r="AD94" s="8">
        <f t="shared" si="9"/>
        <v>215.6</v>
      </c>
      <c r="AF94" s="152">
        <v>178.19499999999999</v>
      </c>
      <c r="AG94" s="152">
        <v>87.911699999999996</v>
      </c>
    </row>
    <row r="95" spans="1:33" x14ac:dyDescent="0.25">
      <c r="A95" s="99">
        <f t="shared" si="10"/>
        <v>94</v>
      </c>
      <c r="B95" s="8">
        <v>1</v>
      </c>
      <c r="C95" s="8">
        <v>122.6844</v>
      </c>
      <c r="D95" s="8">
        <v>60.239400000000003</v>
      </c>
      <c r="E95" s="8">
        <v>0</v>
      </c>
      <c r="F95" s="8">
        <v>0</v>
      </c>
      <c r="G95" s="8">
        <v>1</v>
      </c>
      <c r="H95" s="8">
        <v>1</v>
      </c>
      <c r="I95" s="8">
        <v>0</v>
      </c>
      <c r="J95" s="105">
        <v>230</v>
      </c>
      <c r="K95" s="8">
        <v>1</v>
      </c>
      <c r="L95" s="7">
        <v>1.05</v>
      </c>
      <c r="M95" s="100">
        <v>0.95</v>
      </c>
      <c r="N95" s="5" t="s">
        <v>196</v>
      </c>
      <c r="O95" s="57"/>
      <c r="P95" s="58"/>
      <c r="Q95" s="12">
        <v>103.7064</v>
      </c>
      <c r="R95" s="12">
        <v>1.2699333333333334</v>
      </c>
      <c r="S95" s="137" t="s">
        <v>932</v>
      </c>
      <c r="T95" s="137">
        <v>3</v>
      </c>
      <c r="U95" s="151">
        <v>150</v>
      </c>
      <c r="V95" s="93">
        <f t="shared" si="7"/>
        <v>134.64470882497801</v>
      </c>
      <c r="W95" s="93">
        <f t="shared" si="8"/>
        <v>66.112044178325689</v>
      </c>
      <c r="X95" s="93">
        <f t="shared" si="11"/>
        <v>0.89763139216651999</v>
      </c>
      <c r="Z95" s="8">
        <v>132.37998490000001</v>
      </c>
      <c r="AA95" s="8">
        <v>64.999997620000002</v>
      </c>
      <c r="AC95" s="151">
        <v>150</v>
      </c>
      <c r="AD95" s="8">
        <f t="shared" si="9"/>
        <v>147</v>
      </c>
      <c r="AF95" s="152">
        <v>122.6844</v>
      </c>
      <c r="AG95" s="152">
        <v>60.239400000000003</v>
      </c>
    </row>
    <row r="96" spans="1:33" x14ac:dyDescent="0.25">
      <c r="A96" s="99">
        <f t="shared" si="10"/>
        <v>95</v>
      </c>
      <c r="B96" s="8">
        <v>1</v>
      </c>
      <c r="C96" s="8">
        <v>3.4226000000000001</v>
      </c>
      <c r="D96" s="8">
        <v>1.6786000000000001</v>
      </c>
      <c r="E96" s="8">
        <v>0</v>
      </c>
      <c r="F96" s="8">
        <v>0</v>
      </c>
      <c r="G96" s="8">
        <v>1</v>
      </c>
      <c r="H96" s="8">
        <v>1</v>
      </c>
      <c r="I96" s="8">
        <v>0</v>
      </c>
      <c r="J96" s="6">
        <v>22</v>
      </c>
      <c r="K96" s="8">
        <v>1</v>
      </c>
      <c r="L96" s="7">
        <v>1.05</v>
      </c>
      <c r="M96" s="100">
        <v>0.95</v>
      </c>
      <c r="N96" s="5" t="s">
        <v>198</v>
      </c>
      <c r="O96" s="57"/>
      <c r="P96" s="58"/>
      <c r="Q96" s="12">
        <v>103.70699999999999</v>
      </c>
      <c r="R96" s="12">
        <v>1.2690999999999999</v>
      </c>
      <c r="S96" s="136" t="s">
        <v>947</v>
      </c>
      <c r="T96" s="136">
        <v>1</v>
      </c>
      <c r="U96" s="151">
        <v>4</v>
      </c>
      <c r="V96" s="93">
        <f t="shared" si="7"/>
        <v>3.5913282814718057</v>
      </c>
      <c r="W96" s="93">
        <f t="shared" si="8"/>
        <v>1.761352087091268</v>
      </c>
      <c r="X96" s="93">
        <f t="shared" si="11"/>
        <v>0.89783207036795143</v>
      </c>
      <c r="Z96" s="8">
        <v>3.6699999120000002</v>
      </c>
      <c r="AA96" s="8">
        <v>1.7999999229999999</v>
      </c>
      <c r="AC96" s="151">
        <v>4</v>
      </c>
      <c r="AD96" s="8">
        <f t="shared" si="9"/>
        <v>3.92</v>
      </c>
      <c r="AF96" s="152">
        <v>3.4226000000000001</v>
      </c>
      <c r="AG96" s="152">
        <v>1.6786000000000001</v>
      </c>
    </row>
    <row r="97" spans="1:33" x14ac:dyDescent="0.25">
      <c r="A97" s="99">
        <f t="shared" si="10"/>
        <v>96</v>
      </c>
      <c r="B97" s="8">
        <v>1</v>
      </c>
      <c r="C97" s="8">
        <v>0</v>
      </c>
      <c r="D97" s="8">
        <v>0</v>
      </c>
      <c r="E97" s="8">
        <v>0</v>
      </c>
      <c r="F97" s="8">
        <v>0</v>
      </c>
      <c r="G97" s="8">
        <v>1</v>
      </c>
      <c r="H97" s="8">
        <v>1</v>
      </c>
      <c r="I97" s="8">
        <v>0</v>
      </c>
      <c r="J97" s="6">
        <v>22</v>
      </c>
      <c r="K97" s="8">
        <v>1</v>
      </c>
      <c r="L97" s="7">
        <v>1.05</v>
      </c>
      <c r="M97" s="100">
        <v>0.95</v>
      </c>
      <c r="N97" s="5" t="s">
        <v>197</v>
      </c>
      <c r="O97" s="57"/>
      <c r="P97" s="58"/>
      <c r="Q97" s="12">
        <v>103.7086</v>
      </c>
      <c r="R97" s="12">
        <v>1.2697833333333333</v>
      </c>
      <c r="S97" s="139"/>
      <c r="T97" s="139">
        <v>0</v>
      </c>
      <c r="U97" s="151">
        <v>0</v>
      </c>
      <c r="V97" s="93">
        <f t="shared" si="7"/>
        <v>0</v>
      </c>
      <c r="W97" s="93">
        <f t="shared" si="8"/>
        <v>0</v>
      </c>
      <c r="X97" s="93">
        <f t="shared" si="11"/>
        <v>0</v>
      </c>
      <c r="Z97" s="8">
        <v>0</v>
      </c>
      <c r="AA97" s="8">
        <v>0</v>
      </c>
      <c r="AC97" s="151">
        <v>0</v>
      </c>
      <c r="AD97" s="8">
        <f t="shared" si="9"/>
        <v>0</v>
      </c>
      <c r="AF97" s="152">
        <v>0</v>
      </c>
      <c r="AG97" s="152">
        <v>0</v>
      </c>
    </row>
    <row r="98" spans="1:33" x14ac:dyDescent="0.25">
      <c r="A98" s="99">
        <f t="shared" si="10"/>
        <v>97</v>
      </c>
      <c r="B98" s="8">
        <v>1</v>
      </c>
      <c r="C98" s="8">
        <v>0.86170000000000002</v>
      </c>
      <c r="D98" s="8">
        <v>0.38019999999999998</v>
      </c>
      <c r="E98" s="8">
        <v>0</v>
      </c>
      <c r="F98" s="8">
        <v>0</v>
      </c>
      <c r="G98" s="8">
        <v>1</v>
      </c>
      <c r="H98" s="8">
        <v>1</v>
      </c>
      <c r="I98" s="8">
        <v>0</v>
      </c>
      <c r="J98" s="6">
        <v>22</v>
      </c>
      <c r="K98" s="8">
        <v>1</v>
      </c>
      <c r="L98" s="7">
        <v>1.05</v>
      </c>
      <c r="M98" s="100">
        <v>0.95</v>
      </c>
      <c r="N98" s="5" t="s">
        <v>133</v>
      </c>
      <c r="O98" s="57"/>
      <c r="P98" s="58"/>
      <c r="Q98" s="12">
        <v>103.70435000000001</v>
      </c>
      <c r="R98" s="12">
        <v>1.2671166666666667</v>
      </c>
      <c r="S98" s="134" t="s">
        <v>945</v>
      </c>
      <c r="T98" s="134">
        <v>2</v>
      </c>
      <c r="U98" s="151">
        <v>1</v>
      </c>
      <c r="V98" s="93">
        <f t="shared" si="7"/>
        <v>0.91490280893400922</v>
      </c>
      <c r="W98" s="93">
        <f t="shared" si="8"/>
        <v>0.40367418818232592</v>
      </c>
      <c r="X98" s="93">
        <f t="shared" si="11"/>
        <v>0.91490280893400922</v>
      </c>
      <c r="Z98" s="8">
        <v>1.360000018</v>
      </c>
      <c r="AA98" s="8">
        <v>0.60000000499999995</v>
      </c>
      <c r="AC98" s="151">
        <v>1</v>
      </c>
      <c r="AD98" s="8">
        <f t="shared" si="9"/>
        <v>0.98</v>
      </c>
      <c r="AF98" s="152">
        <v>0.86170000000000002</v>
      </c>
      <c r="AG98" s="152">
        <v>0.38019999999999998</v>
      </c>
    </row>
    <row r="99" spans="1:33" x14ac:dyDescent="0.25">
      <c r="A99" s="99">
        <f t="shared" si="10"/>
        <v>98</v>
      </c>
      <c r="B99" s="8">
        <v>1</v>
      </c>
      <c r="C99" s="8">
        <v>1.5593999999999999</v>
      </c>
      <c r="D99" s="8">
        <v>0.76690000000000003</v>
      </c>
      <c r="E99" s="8">
        <v>0</v>
      </c>
      <c r="F99" s="8">
        <v>0</v>
      </c>
      <c r="G99" s="8">
        <v>1</v>
      </c>
      <c r="H99" s="8">
        <v>1</v>
      </c>
      <c r="I99" s="8">
        <v>0</v>
      </c>
      <c r="J99" s="6">
        <v>22</v>
      </c>
      <c r="K99" s="8">
        <v>1</v>
      </c>
      <c r="L99" s="7">
        <v>1.05</v>
      </c>
      <c r="M99" s="100">
        <v>0.95</v>
      </c>
      <c r="N99" s="5" t="s">
        <v>119</v>
      </c>
      <c r="O99" s="57"/>
      <c r="P99" s="58"/>
      <c r="Q99" s="12">
        <v>103.70345</v>
      </c>
      <c r="R99" s="12">
        <v>1.2653166666666666</v>
      </c>
      <c r="S99" s="136" t="s">
        <v>936</v>
      </c>
      <c r="T99" s="136">
        <v>1</v>
      </c>
      <c r="U99" s="151">
        <v>2</v>
      </c>
      <c r="V99" s="93">
        <f t="shared" si="7"/>
        <v>1.794708151074331</v>
      </c>
      <c r="W99" s="93">
        <f t="shared" si="8"/>
        <v>0.88262259911434171</v>
      </c>
      <c r="X99" s="93">
        <f t="shared" si="11"/>
        <v>0.89735407553716551</v>
      </c>
      <c r="Z99" s="8">
        <v>3.050000034</v>
      </c>
      <c r="AA99" s="8">
        <v>1.4999999660000001</v>
      </c>
      <c r="AC99" s="151">
        <v>2</v>
      </c>
      <c r="AD99" s="8">
        <f t="shared" si="9"/>
        <v>1.96</v>
      </c>
      <c r="AF99" s="152">
        <v>1.5593999999999999</v>
      </c>
      <c r="AG99" s="152">
        <v>0.76690000000000003</v>
      </c>
    </row>
    <row r="100" spans="1:33" x14ac:dyDescent="0.25">
      <c r="A100" s="99">
        <f t="shared" si="10"/>
        <v>99</v>
      </c>
      <c r="B100" s="8">
        <v>1</v>
      </c>
      <c r="C100" s="8">
        <v>8.0482999999999993</v>
      </c>
      <c r="D100" s="8">
        <v>3.7107999999999999</v>
      </c>
      <c r="E100" s="8">
        <v>0</v>
      </c>
      <c r="F100" s="8">
        <v>0</v>
      </c>
      <c r="G100" s="8">
        <v>1</v>
      </c>
      <c r="H100" s="8">
        <v>1</v>
      </c>
      <c r="I100" s="8">
        <v>0</v>
      </c>
      <c r="J100" s="6">
        <v>22</v>
      </c>
      <c r="K100" s="8">
        <v>1</v>
      </c>
      <c r="L100" s="7">
        <v>1.05</v>
      </c>
      <c r="M100" s="100">
        <v>0.95</v>
      </c>
      <c r="N100" s="5" t="s">
        <v>137</v>
      </c>
      <c r="O100" s="57"/>
      <c r="P100" s="58"/>
      <c r="Q100" s="12">
        <v>103.70371666666666</v>
      </c>
      <c r="R100" s="12">
        <v>1.2646333333333333</v>
      </c>
      <c r="S100" s="136" t="s">
        <v>936</v>
      </c>
      <c r="T100" s="136">
        <v>1</v>
      </c>
      <c r="U100" s="151">
        <v>10</v>
      </c>
      <c r="V100" s="93">
        <f t="shared" si="7"/>
        <v>9.0812245725094058</v>
      </c>
      <c r="W100" s="93">
        <f t="shared" si="8"/>
        <v>4.1870467233661683</v>
      </c>
      <c r="X100" s="93">
        <f t="shared" si="11"/>
        <v>0.90812245725094065</v>
      </c>
      <c r="Z100" s="8">
        <v>9.7599998120000002</v>
      </c>
      <c r="AA100" s="8">
        <v>4.5000001789999997</v>
      </c>
      <c r="AC100" s="151">
        <v>10</v>
      </c>
      <c r="AD100" s="8">
        <f t="shared" si="9"/>
        <v>9.8000000000000007</v>
      </c>
      <c r="AF100" s="152">
        <v>8.0482999999999993</v>
      </c>
      <c r="AG100" s="152">
        <v>3.7107999999999999</v>
      </c>
    </row>
    <row r="101" spans="1:33" x14ac:dyDescent="0.25">
      <c r="A101" s="99">
        <f t="shared" si="10"/>
        <v>100</v>
      </c>
      <c r="B101" s="8">
        <v>1</v>
      </c>
      <c r="C101" s="8">
        <v>2.5057</v>
      </c>
      <c r="D101" s="8">
        <v>1.139</v>
      </c>
      <c r="E101" s="8">
        <v>0</v>
      </c>
      <c r="F101" s="8">
        <v>0</v>
      </c>
      <c r="G101" s="8">
        <v>1</v>
      </c>
      <c r="H101" s="8">
        <v>1</v>
      </c>
      <c r="I101" s="8">
        <v>0</v>
      </c>
      <c r="J101" s="6">
        <v>22</v>
      </c>
      <c r="K101" s="8">
        <v>1</v>
      </c>
      <c r="L101" s="7">
        <v>1.05</v>
      </c>
      <c r="M101" s="100">
        <v>0.95</v>
      </c>
      <c r="N101" s="5" t="s">
        <v>149</v>
      </c>
      <c r="O101" s="57"/>
      <c r="P101" s="58"/>
      <c r="Q101" s="12">
        <v>103.709</v>
      </c>
      <c r="R101" s="12">
        <v>1.26285</v>
      </c>
      <c r="S101" s="136" t="s">
        <v>936</v>
      </c>
      <c r="T101" s="136">
        <v>1</v>
      </c>
      <c r="U101" s="151">
        <v>3</v>
      </c>
      <c r="V101" s="93">
        <f t="shared" si="7"/>
        <v>2.7310807685992389</v>
      </c>
      <c r="W101" s="93">
        <f t="shared" si="8"/>
        <v>1.2414498924190969</v>
      </c>
      <c r="X101" s="93">
        <f t="shared" si="11"/>
        <v>0.91036025619974636</v>
      </c>
      <c r="Z101" s="8">
        <v>1.3199999929999999</v>
      </c>
      <c r="AA101" s="8">
        <v>0.60000000499999995</v>
      </c>
      <c r="AC101" s="151">
        <v>3</v>
      </c>
      <c r="AD101" s="8">
        <f t="shared" si="9"/>
        <v>2.94</v>
      </c>
      <c r="AF101" s="152">
        <v>2.5057</v>
      </c>
      <c r="AG101" s="152">
        <v>1.139</v>
      </c>
    </row>
    <row r="102" spans="1:33" x14ac:dyDescent="0.25">
      <c r="A102" s="99">
        <f t="shared" si="10"/>
        <v>101</v>
      </c>
      <c r="B102" s="8">
        <v>1</v>
      </c>
      <c r="C102" s="8">
        <v>6.5204000000000004</v>
      </c>
      <c r="D102" s="8">
        <v>3.1859000000000002</v>
      </c>
      <c r="E102" s="8">
        <v>0</v>
      </c>
      <c r="F102" s="8">
        <v>0</v>
      </c>
      <c r="G102" s="8">
        <v>1</v>
      </c>
      <c r="H102" s="8">
        <v>1</v>
      </c>
      <c r="I102" s="8">
        <v>0</v>
      </c>
      <c r="J102" s="6">
        <v>22</v>
      </c>
      <c r="K102" s="8">
        <v>1</v>
      </c>
      <c r="L102" s="7">
        <v>1.05</v>
      </c>
      <c r="M102" s="100">
        <v>0.95</v>
      </c>
      <c r="N102" s="5" t="s">
        <v>151</v>
      </c>
      <c r="O102" s="57"/>
      <c r="P102" s="58"/>
      <c r="Q102" s="12">
        <v>103.70991666666667</v>
      </c>
      <c r="R102" s="12">
        <v>1.2622333333333333</v>
      </c>
      <c r="S102" s="136" t="s">
        <v>949</v>
      </c>
      <c r="T102" s="136">
        <v>1</v>
      </c>
      <c r="U102" s="151">
        <v>8</v>
      </c>
      <c r="V102" s="93">
        <f t="shared" si="7"/>
        <v>7.1878798797866192</v>
      </c>
      <c r="W102" s="93">
        <f t="shared" si="8"/>
        <v>3.5120340023636865</v>
      </c>
      <c r="X102" s="93">
        <f t="shared" si="11"/>
        <v>0.89848498497332741</v>
      </c>
      <c r="Z102" s="8">
        <v>3.07</v>
      </c>
      <c r="AA102" s="8">
        <v>1.4999999660000001</v>
      </c>
      <c r="AC102" s="151">
        <v>8</v>
      </c>
      <c r="AD102" s="8">
        <f t="shared" si="9"/>
        <v>7.84</v>
      </c>
      <c r="AF102" s="152">
        <v>6.5204000000000004</v>
      </c>
      <c r="AG102" s="152">
        <v>3.1859000000000002</v>
      </c>
    </row>
    <row r="103" spans="1:33" x14ac:dyDescent="0.25">
      <c r="A103" s="99">
        <f t="shared" si="10"/>
        <v>102</v>
      </c>
      <c r="B103" s="8">
        <v>1</v>
      </c>
      <c r="C103" s="8">
        <v>5.5659000000000001</v>
      </c>
      <c r="D103" s="8">
        <v>2.7183999999999999</v>
      </c>
      <c r="E103" s="8">
        <v>0</v>
      </c>
      <c r="F103" s="8">
        <v>0</v>
      </c>
      <c r="G103" s="8">
        <v>1</v>
      </c>
      <c r="H103" s="8">
        <v>1</v>
      </c>
      <c r="I103" s="8">
        <v>0</v>
      </c>
      <c r="J103" s="6">
        <v>22</v>
      </c>
      <c r="K103" s="8">
        <v>1</v>
      </c>
      <c r="L103" s="7">
        <v>1.05</v>
      </c>
      <c r="M103" s="100">
        <v>0.95</v>
      </c>
      <c r="N103" s="5" t="s">
        <v>152</v>
      </c>
      <c r="O103" s="57"/>
      <c r="P103" s="58"/>
      <c r="Q103" s="12">
        <v>103.7107</v>
      </c>
      <c r="R103" s="12">
        <v>1.2616666666666667</v>
      </c>
      <c r="S103" s="136" t="s">
        <v>951</v>
      </c>
      <c r="T103" s="136">
        <v>1</v>
      </c>
      <c r="U103" s="151">
        <v>7</v>
      </c>
      <c r="V103" s="93">
        <f t="shared" si="7"/>
        <v>6.2898969589747784</v>
      </c>
      <c r="W103" s="93">
        <f t="shared" si="8"/>
        <v>3.0720019930787532</v>
      </c>
      <c r="X103" s="93">
        <f t="shared" si="11"/>
        <v>0.89855670842496838</v>
      </c>
      <c r="Z103" s="8">
        <v>8.1900000570000007</v>
      </c>
      <c r="AA103" s="8">
        <v>3.9999999110000002</v>
      </c>
      <c r="AC103" s="151">
        <v>7</v>
      </c>
      <c r="AD103" s="8">
        <f t="shared" si="9"/>
        <v>6.8599999999999994</v>
      </c>
      <c r="AF103" s="152">
        <v>5.5659000000000001</v>
      </c>
      <c r="AG103" s="152">
        <v>2.7183999999999999</v>
      </c>
    </row>
    <row r="104" spans="1:33" x14ac:dyDescent="0.25">
      <c r="A104" s="99">
        <f t="shared" si="10"/>
        <v>103</v>
      </c>
      <c r="B104" s="8">
        <v>1</v>
      </c>
      <c r="C104" s="8">
        <v>3.8018000000000001</v>
      </c>
      <c r="D104" s="8">
        <v>2.5546000000000002</v>
      </c>
      <c r="E104" s="8">
        <v>0</v>
      </c>
      <c r="F104" s="8">
        <v>0</v>
      </c>
      <c r="G104" s="8">
        <v>1</v>
      </c>
      <c r="H104" s="8">
        <v>1</v>
      </c>
      <c r="I104" s="8">
        <v>0</v>
      </c>
      <c r="J104" s="6">
        <v>22</v>
      </c>
      <c r="K104" s="8">
        <v>1</v>
      </c>
      <c r="L104" s="7">
        <v>1.05</v>
      </c>
      <c r="M104" s="100">
        <v>0.95</v>
      </c>
      <c r="N104" s="5" t="s">
        <v>105</v>
      </c>
      <c r="O104" s="57"/>
      <c r="P104" s="58"/>
      <c r="Q104" s="12">
        <v>103.70133333333334</v>
      </c>
      <c r="R104" s="12">
        <v>1.2630333333333335</v>
      </c>
      <c r="S104" s="136" t="s">
        <v>936</v>
      </c>
      <c r="T104" s="136">
        <v>1</v>
      </c>
      <c r="U104" s="151">
        <v>5</v>
      </c>
      <c r="V104" s="93">
        <f t="shared" si="7"/>
        <v>4.1501137682265092</v>
      </c>
      <c r="W104" s="93">
        <f t="shared" si="8"/>
        <v>2.7886476490902847</v>
      </c>
      <c r="X104" s="93">
        <f t="shared" si="11"/>
        <v>0.83002275364530176</v>
      </c>
      <c r="Z104" s="8">
        <v>2.529999986</v>
      </c>
      <c r="AA104" s="8">
        <v>1.700000092</v>
      </c>
      <c r="AC104" s="151">
        <v>5</v>
      </c>
      <c r="AD104" s="8">
        <f t="shared" si="9"/>
        <v>4.9000000000000004</v>
      </c>
      <c r="AF104" s="152">
        <v>3.8018000000000001</v>
      </c>
      <c r="AG104" s="152">
        <v>2.5546000000000002</v>
      </c>
    </row>
    <row r="105" spans="1:33" x14ac:dyDescent="0.25">
      <c r="A105" s="99">
        <f t="shared" si="10"/>
        <v>104</v>
      </c>
      <c r="B105" s="8">
        <v>1</v>
      </c>
      <c r="C105" s="8">
        <v>65.286199999999994</v>
      </c>
      <c r="D105" s="8">
        <v>9.0611999999999995</v>
      </c>
      <c r="E105" s="8">
        <v>0</v>
      </c>
      <c r="F105" s="8">
        <v>0</v>
      </c>
      <c r="G105" s="8">
        <v>1</v>
      </c>
      <c r="H105" s="8">
        <v>1</v>
      </c>
      <c r="I105" s="8">
        <v>0</v>
      </c>
      <c r="J105" s="104">
        <v>66</v>
      </c>
      <c r="K105" s="8">
        <v>1</v>
      </c>
      <c r="L105" s="7">
        <v>1.05</v>
      </c>
      <c r="M105" s="100">
        <v>0.95</v>
      </c>
      <c r="N105" s="5" t="s">
        <v>118</v>
      </c>
      <c r="O105" s="12">
        <v>103.70228333333333</v>
      </c>
      <c r="P105" s="12">
        <v>1.26285</v>
      </c>
      <c r="Q105" s="12">
        <f>(Q17+Q18)/2</f>
        <v>103.70189999999999</v>
      </c>
      <c r="R105" s="12">
        <f>(R17+R18)/2</f>
        <v>1.2642833333333332</v>
      </c>
      <c r="S105" s="136" t="s">
        <v>948</v>
      </c>
      <c r="T105" s="136">
        <v>1</v>
      </c>
      <c r="U105" s="151">
        <v>69</v>
      </c>
      <c r="V105" s="93">
        <f t="shared" si="7"/>
        <v>68.34486916127058</v>
      </c>
      <c r="W105" s="93">
        <f t="shared" si="8"/>
        <v>9.4857187038624442</v>
      </c>
      <c r="X105" s="93">
        <f t="shared" si="11"/>
        <v>0.99050535016334174</v>
      </c>
      <c r="Z105" s="8">
        <v>43.230000140000001</v>
      </c>
      <c r="AA105" s="8">
        <v>5.9999998659999996</v>
      </c>
      <c r="AC105" s="151">
        <v>69</v>
      </c>
      <c r="AD105" s="8">
        <f t="shared" si="9"/>
        <v>67.62</v>
      </c>
      <c r="AF105" s="152">
        <v>65.286199999999994</v>
      </c>
      <c r="AG105" s="152">
        <v>9.0611999999999995</v>
      </c>
    </row>
    <row r="106" spans="1:33" x14ac:dyDescent="0.25">
      <c r="A106" s="99">
        <f t="shared" si="10"/>
        <v>105</v>
      </c>
      <c r="B106" s="8">
        <v>1</v>
      </c>
      <c r="C106" s="8">
        <v>3.4123000000000001</v>
      </c>
      <c r="D106" s="8">
        <v>1.5924</v>
      </c>
      <c r="E106" s="8">
        <v>0</v>
      </c>
      <c r="F106" s="8">
        <v>0</v>
      </c>
      <c r="G106" s="8">
        <v>1</v>
      </c>
      <c r="H106" s="8">
        <v>1</v>
      </c>
      <c r="I106" s="8">
        <v>0</v>
      </c>
      <c r="J106" s="6">
        <v>22</v>
      </c>
      <c r="K106" s="8">
        <v>1</v>
      </c>
      <c r="L106" s="7">
        <v>1.05</v>
      </c>
      <c r="M106" s="100">
        <v>0.95</v>
      </c>
      <c r="N106" s="5" t="s">
        <v>119</v>
      </c>
      <c r="O106" s="57"/>
      <c r="P106" s="58"/>
      <c r="Q106" s="12">
        <v>103.70208333333333</v>
      </c>
      <c r="R106" s="12">
        <v>1.2637499999999999</v>
      </c>
      <c r="S106" s="136" t="s">
        <v>936</v>
      </c>
      <c r="T106" s="136">
        <v>1</v>
      </c>
      <c r="U106" s="151">
        <v>4</v>
      </c>
      <c r="V106" s="93">
        <f t="shared" si="7"/>
        <v>3.6247352737684424</v>
      </c>
      <c r="W106" s="93">
        <f t="shared" si="8"/>
        <v>1.6915360460536495</v>
      </c>
      <c r="X106" s="93">
        <f t="shared" si="11"/>
        <v>0.9061838184421106</v>
      </c>
      <c r="Z106" s="8">
        <v>1.4999999660000001</v>
      </c>
      <c r="AA106" s="8">
        <v>0.700000022</v>
      </c>
      <c r="AC106" s="151">
        <v>4</v>
      </c>
      <c r="AD106" s="8">
        <f t="shared" si="9"/>
        <v>3.92</v>
      </c>
      <c r="AF106" s="152">
        <v>3.4123000000000001</v>
      </c>
      <c r="AG106" s="152">
        <v>1.5924</v>
      </c>
    </row>
    <row r="107" spans="1:33" x14ac:dyDescent="0.25">
      <c r="A107" s="99">
        <f t="shared" si="10"/>
        <v>106</v>
      </c>
      <c r="B107" s="8">
        <v>1</v>
      </c>
      <c r="C107" s="8">
        <v>0.7621</v>
      </c>
      <c r="D107" s="8">
        <v>0.32429999999999998</v>
      </c>
      <c r="E107" s="8">
        <v>0</v>
      </c>
      <c r="F107" s="8">
        <v>0</v>
      </c>
      <c r="G107" s="8">
        <v>1</v>
      </c>
      <c r="H107" s="8">
        <v>1</v>
      </c>
      <c r="I107" s="8">
        <v>0</v>
      </c>
      <c r="J107" s="6">
        <v>22</v>
      </c>
      <c r="K107" s="8">
        <v>1</v>
      </c>
      <c r="L107" s="7">
        <v>1.05</v>
      </c>
      <c r="M107" s="100">
        <v>0.95</v>
      </c>
      <c r="N107" s="5" t="s">
        <v>120</v>
      </c>
      <c r="O107" s="57"/>
      <c r="P107" s="58"/>
      <c r="Q107" s="12">
        <v>103.70291666666667</v>
      </c>
      <c r="R107" s="12">
        <v>1.2636000000000001</v>
      </c>
      <c r="S107" s="134" t="s">
        <v>928</v>
      </c>
      <c r="T107" s="134">
        <v>2</v>
      </c>
      <c r="U107" s="151">
        <v>1</v>
      </c>
      <c r="V107" s="93">
        <f t="shared" si="7"/>
        <v>0.92015371006652114</v>
      </c>
      <c r="W107" s="93">
        <f t="shared" si="8"/>
        <v>0.39155733916096702</v>
      </c>
      <c r="X107" s="93">
        <f t="shared" si="11"/>
        <v>0.92015371006652114</v>
      </c>
      <c r="Z107" s="8">
        <v>0.469999993</v>
      </c>
      <c r="AA107" s="8">
        <v>0.20000000900000001</v>
      </c>
      <c r="AC107" s="151">
        <v>1</v>
      </c>
      <c r="AD107" s="8">
        <f t="shared" si="9"/>
        <v>0.98</v>
      </c>
      <c r="AF107" s="152">
        <v>0.7621</v>
      </c>
      <c r="AG107" s="152">
        <v>0.32429999999999998</v>
      </c>
    </row>
    <row r="108" spans="1:33" x14ac:dyDescent="0.25">
      <c r="A108" s="99">
        <f t="shared" si="10"/>
        <v>107</v>
      </c>
      <c r="B108" s="8">
        <v>1</v>
      </c>
      <c r="C108" s="8">
        <v>2.3483999999999998</v>
      </c>
      <c r="D108" s="8">
        <v>1.1626000000000001</v>
      </c>
      <c r="E108" s="8">
        <v>0</v>
      </c>
      <c r="F108" s="8">
        <v>0</v>
      </c>
      <c r="G108" s="8">
        <v>1</v>
      </c>
      <c r="H108" s="8">
        <v>1</v>
      </c>
      <c r="I108" s="8">
        <v>0</v>
      </c>
      <c r="J108" s="6">
        <v>22</v>
      </c>
      <c r="K108" s="8">
        <v>1</v>
      </c>
      <c r="L108" s="7">
        <v>1.05</v>
      </c>
      <c r="M108" s="100">
        <v>0.95</v>
      </c>
      <c r="N108" s="5" t="s">
        <v>121</v>
      </c>
      <c r="O108" s="57"/>
      <c r="P108" s="58"/>
      <c r="Q108" s="12">
        <v>103.7022</v>
      </c>
      <c r="R108" s="12">
        <v>1.2645833333333334</v>
      </c>
      <c r="S108" s="136" t="s">
        <v>936</v>
      </c>
      <c r="T108" s="136">
        <v>1</v>
      </c>
      <c r="U108" s="151">
        <v>3</v>
      </c>
      <c r="V108" s="93">
        <f t="shared" si="7"/>
        <v>2.6885726576871454</v>
      </c>
      <c r="W108" s="93">
        <f t="shared" si="8"/>
        <v>1.3310060346734267</v>
      </c>
      <c r="X108" s="93">
        <f t="shared" si="11"/>
        <v>0.89619088589571516</v>
      </c>
      <c r="Z108" s="8">
        <v>1.0099999609999999</v>
      </c>
      <c r="AA108" s="8">
        <v>0.49999998899999998</v>
      </c>
      <c r="AC108" s="151">
        <v>3</v>
      </c>
      <c r="AD108" s="8">
        <f t="shared" si="9"/>
        <v>2.94</v>
      </c>
      <c r="AF108" s="152">
        <v>2.3483999999999998</v>
      </c>
      <c r="AG108" s="152">
        <v>1.1626000000000001</v>
      </c>
    </row>
    <row r="109" spans="1:33" x14ac:dyDescent="0.25">
      <c r="A109" s="99">
        <f t="shared" si="10"/>
        <v>108</v>
      </c>
      <c r="B109" s="8">
        <v>1</v>
      </c>
      <c r="C109" s="8">
        <v>2.274</v>
      </c>
      <c r="D109" s="8">
        <v>1.1003000000000001</v>
      </c>
      <c r="E109" s="8">
        <v>0</v>
      </c>
      <c r="F109" s="8">
        <v>0</v>
      </c>
      <c r="G109" s="8">
        <v>1</v>
      </c>
      <c r="H109" s="8">
        <v>1</v>
      </c>
      <c r="I109" s="8">
        <v>0</v>
      </c>
      <c r="J109" s="6">
        <v>22</v>
      </c>
      <c r="K109" s="8">
        <v>1</v>
      </c>
      <c r="L109" s="7">
        <v>1.05</v>
      </c>
      <c r="M109" s="100">
        <v>0.95</v>
      </c>
      <c r="N109" s="5" t="s">
        <v>111</v>
      </c>
      <c r="O109" s="57"/>
      <c r="P109" s="58"/>
      <c r="Q109" s="12">
        <v>103.70091666666667</v>
      </c>
      <c r="R109" s="12">
        <v>1.2603333333333333</v>
      </c>
      <c r="S109" s="134" t="s">
        <v>943</v>
      </c>
      <c r="T109" s="134">
        <v>2</v>
      </c>
      <c r="U109" s="151">
        <v>3</v>
      </c>
      <c r="V109" s="93">
        <f t="shared" si="7"/>
        <v>2.7004882678800404</v>
      </c>
      <c r="W109" s="93">
        <f t="shared" si="8"/>
        <v>1.3066610559139884</v>
      </c>
      <c r="X109" s="93">
        <f t="shared" si="11"/>
        <v>0.90016275596001349</v>
      </c>
      <c r="Z109" s="8">
        <v>0.93000000299999996</v>
      </c>
      <c r="AA109" s="8">
        <v>0.44999998099999999</v>
      </c>
      <c r="AC109" s="151">
        <v>3</v>
      </c>
      <c r="AD109" s="8">
        <f t="shared" si="9"/>
        <v>2.94</v>
      </c>
      <c r="AF109" s="152">
        <v>2.274</v>
      </c>
      <c r="AG109" s="152">
        <v>1.1003000000000001</v>
      </c>
    </row>
    <row r="110" spans="1:33" x14ac:dyDescent="0.25">
      <c r="A110" s="99">
        <f t="shared" si="10"/>
        <v>109</v>
      </c>
      <c r="B110" s="8">
        <v>1</v>
      </c>
      <c r="C110" s="8">
        <v>0.78410000000000002</v>
      </c>
      <c r="D110" s="8">
        <v>0.37819999999999998</v>
      </c>
      <c r="E110" s="8">
        <v>0</v>
      </c>
      <c r="F110" s="8">
        <v>0</v>
      </c>
      <c r="G110" s="8">
        <v>1</v>
      </c>
      <c r="H110" s="8">
        <v>1</v>
      </c>
      <c r="I110" s="8">
        <v>0</v>
      </c>
      <c r="J110" s="6">
        <v>22</v>
      </c>
      <c r="K110" s="8">
        <v>1</v>
      </c>
      <c r="L110" s="7">
        <v>1.05</v>
      </c>
      <c r="M110" s="100">
        <v>0.95</v>
      </c>
      <c r="N110" s="5" t="s">
        <v>131</v>
      </c>
      <c r="O110" s="57"/>
      <c r="P110" s="58"/>
      <c r="Q110" s="12">
        <v>103.70175</v>
      </c>
      <c r="R110" s="12">
        <v>1.2598</v>
      </c>
      <c r="S110" s="134" t="s">
        <v>928</v>
      </c>
      <c r="T110" s="134">
        <v>2</v>
      </c>
      <c r="U110" s="151">
        <v>1</v>
      </c>
      <c r="V110" s="93">
        <f t="shared" si="7"/>
        <v>0.90070046119035285</v>
      </c>
      <c r="W110" s="93">
        <f t="shared" si="8"/>
        <v>0.43444065096568218</v>
      </c>
      <c r="X110" s="93">
        <f t="shared" si="11"/>
        <v>0.90070046119035285</v>
      </c>
      <c r="Z110" s="8">
        <v>3.109999932</v>
      </c>
      <c r="AA110" s="8">
        <v>1.4999999660000001</v>
      </c>
      <c r="AC110" s="151">
        <v>1</v>
      </c>
      <c r="AD110" s="8">
        <f t="shared" si="9"/>
        <v>0.98</v>
      </c>
      <c r="AF110" s="152">
        <v>0.78410000000000002</v>
      </c>
      <c r="AG110" s="152">
        <v>0.37819999999999998</v>
      </c>
    </row>
    <row r="111" spans="1:33" x14ac:dyDescent="0.25">
      <c r="A111" s="99">
        <f t="shared" si="10"/>
        <v>110</v>
      </c>
      <c r="B111" s="8">
        <v>1</v>
      </c>
      <c r="C111" s="8">
        <v>0.81659999999999999</v>
      </c>
      <c r="D111" s="8">
        <v>0.39450000000000002</v>
      </c>
      <c r="E111" s="8">
        <v>0</v>
      </c>
      <c r="F111" s="8">
        <v>0</v>
      </c>
      <c r="G111" s="8">
        <v>1</v>
      </c>
      <c r="H111" s="8">
        <v>1</v>
      </c>
      <c r="I111" s="8">
        <v>0</v>
      </c>
      <c r="J111" s="6">
        <v>22</v>
      </c>
      <c r="K111" s="8">
        <v>1</v>
      </c>
      <c r="L111" s="7">
        <v>1.05</v>
      </c>
      <c r="M111" s="100">
        <v>0.95</v>
      </c>
      <c r="N111" s="5" t="s">
        <v>141</v>
      </c>
      <c r="O111" s="57"/>
      <c r="P111" s="58"/>
      <c r="Q111" s="12">
        <v>103.70151666666666</v>
      </c>
      <c r="R111" s="12">
        <v>1.2564666666666666</v>
      </c>
      <c r="S111" s="134" t="s">
        <v>928</v>
      </c>
      <c r="T111" s="134">
        <v>2</v>
      </c>
      <c r="U111" s="151">
        <v>1</v>
      </c>
      <c r="V111" s="93">
        <f t="shared" si="7"/>
        <v>0.90043102170110134</v>
      </c>
      <c r="W111" s="93">
        <f t="shared" si="8"/>
        <v>0.43499882201945189</v>
      </c>
      <c r="X111" s="93">
        <f t="shared" si="11"/>
        <v>0.90043102170110134</v>
      </c>
      <c r="Z111" s="8">
        <v>10.35000011</v>
      </c>
      <c r="AA111" s="8">
        <v>5.000000075</v>
      </c>
      <c r="AC111" s="151">
        <v>1</v>
      </c>
      <c r="AD111" s="8">
        <f t="shared" si="9"/>
        <v>0.98</v>
      </c>
      <c r="AF111" s="152">
        <v>0.81659999999999999</v>
      </c>
      <c r="AG111" s="152">
        <v>0.39450000000000002</v>
      </c>
    </row>
    <row r="112" spans="1:33" x14ac:dyDescent="0.25">
      <c r="A112" s="99">
        <f t="shared" si="10"/>
        <v>111</v>
      </c>
      <c r="B112" s="8">
        <v>1</v>
      </c>
      <c r="C112" s="8">
        <v>0.76539999999999997</v>
      </c>
      <c r="D112" s="8">
        <v>0.36799999999999999</v>
      </c>
      <c r="E112" s="8">
        <v>0</v>
      </c>
      <c r="F112" s="8">
        <v>0</v>
      </c>
      <c r="G112" s="8">
        <v>1</v>
      </c>
      <c r="H112" s="8">
        <v>1</v>
      </c>
      <c r="I112" s="8">
        <v>0</v>
      </c>
      <c r="J112" s="6">
        <v>22</v>
      </c>
      <c r="K112" s="8">
        <v>1</v>
      </c>
      <c r="L112" s="7">
        <v>1.05</v>
      </c>
      <c r="M112" s="100">
        <v>0.95</v>
      </c>
      <c r="N112" s="5" t="s">
        <v>143</v>
      </c>
      <c r="O112" s="57"/>
      <c r="P112" s="58"/>
      <c r="Q112" s="12">
        <v>103.70233333333333</v>
      </c>
      <c r="R112" s="12">
        <v>1.25335</v>
      </c>
      <c r="S112" s="134" t="s">
        <v>928</v>
      </c>
      <c r="T112" s="134">
        <v>2</v>
      </c>
      <c r="U112" s="151">
        <v>1</v>
      </c>
      <c r="V112" s="93">
        <f t="shared" si="7"/>
        <v>0.90124358173831165</v>
      </c>
      <c r="W112" s="93">
        <f t="shared" si="8"/>
        <v>0.43331282738398036</v>
      </c>
      <c r="X112" s="93">
        <f t="shared" si="11"/>
        <v>0.90124358173831165</v>
      </c>
      <c r="Z112" s="8">
        <v>2.0800000060000001</v>
      </c>
      <c r="AA112" s="8">
        <v>0.99999997799999996</v>
      </c>
      <c r="AC112" s="151">
        <v>1</v>
      </c>
      <c r="AD112" s="8">
        <f t="shared" si="9"/>
        <v>0.98</v>
      </c>
      <c r="AF112" s="152">
        <v>0.76539999999999997</v>
      </c>
      <c r="AG112" s="152">
        <v>0.36799999999999999</v>
      </c>
    </row>
    <row r="113" spans="1:33" x14ac:dyDescent="0.25">
      <c r="A113" s="99">
        <f t="shared" si="10"/>
        <v>112</v>
      </c>
      <c r="B113" s="8">
        <v>1</v>
      </c>
      <c r="C113" s="8">
        <v>0</v>
      </c>
      <c r="D113" s="8">
        <v>0</v>
      </c>
      <c r="E113" s="8">
        <v>0</v>
      </c>
      <c r="F113" s="8">
        <v>0</v>
      </c>
      <c r="G113" s="8">
        <v>1</v>
      </c>
      <c r="H113" s="8">
        <v>1</v>
      </c>
      <c r="I113" s="8">
        <v>0</v>
      </c>
      <c r="J113" s="6">
        <v>66</v>
      </c>
      <c r="K113" s="8">
        <v>1</v>
      </c>
      <c r="L113" s="7">
        <v>1.05</v>
      </c>
      <c r="M113" s="100">
        <v>0.95</v>
      </c>
      <c r="N113" s="5" t="s">
        <v>148</v>
      </c>
      <c r="O113" s="57"/>
      <c r="P113" s="58"/>
      <c r="Q113" s="12">
        <v>103.70318333333333</v>
      </c>
      <c r="R113" s="12">
        <v>1.25905</v>
      </c>
      <c r="S113" s="139"/>
      <c r="T113" s="139">
        <v>0</v>
      </c>
      <c r="U113" s="151">
        <v>0</v>
      </c>
      <c r="V113" s="93">
        <f t="shared" si="7"/>
        <v>0</v>
      </c>
      <c r="W113" s="93">
        <f t="shared" si="8"/>
        <v>0</v>
      </c>
      <c r="X113" s="93">
        <f t="shared" si="11"/>
        <v>0</v>
      </c>
      <c r="Z113" s="8">
        <v>0</v>
      </c>
      <c r="AA113" s="8">
        <v>0</v>
      </c>
      <c r="AC113" s="151">
        <v>0</v>
      </c>
      <c r="AD113" s="8">
        <f t="shared" si="9"/>
        <v>0</v>
      </c>
      <c r="AF113" s="152">
        <v>0</v>
      </c>
      <c r="AG113" s="152">
        <v>0</v>
      </c>
    </row>
    <row r="114" spans="1:33" x14ac:dyDescent="0.25">
      <c r="A114" s="99">
        <f t="shared" si="10"/>
        <v>113</v>
      </c>
      <c r="B114" s="8">
        <v>1</v>
      </c>
      <c r="C114" s="8">
        <v>11.3154</v>
      </c>
      <c r="D114" s="8">
        <v>5.4141000000000004</v>
      </c>
      <c r="E114" s="8">
        <v>0</v>
      </c>
      <c r="F114" s="8">
        <v>0</v>
      </c>
      <c r="G114" s="8">
        <v>1</v>
      </c>
      <c r="H114" s="8">
        <v>1</v>
      </c>
      <c r="I114" s="8">
        <v>0</v>
      </c>
      <c r="J114" s="6">
        <v>66</v>
      </c>
      <c r="K114" s="8">
        <v>1</v>
      </c>
      <c r="L114" s="7">
        <v>1.05</v>
      </c>
      <c r="M114" s="100">
        <v>0.95</v>
      </c>
      <c r="N114" s="5" t="s">
        <v>153</v>
      </c>
      <c r="O114" s="57"/>
      <c r="P114" s="58"/>
      <c r="Q114" s="12">
        <v>103.70395000000001</v>
      </c>
      <c r="R114" s="12">
        <v>1.2586999999999999</v>
      </c>
      <c r="S114" s="136" t="s">
        <v>939</v>
      </c>
      <c r="T114" s="136">
        <v>1</v>
      </c>
      <c r="U114" s="151">
        <v>13</v>
      </c>
      <c r="V114" s="93">
        <f t="shared" si="7"/>
        <v>11.726781854086418</v>
      </c>
      <c r="W114" s="93">
        <f t="shared" si="8"/>
        <v>5.6109346232752975</v>
      </c>
      <c r="X114" s="93">
        <f t="shared" si="11"/>
        <v>0.90206014262203216</v>
      </c>
      <c r="Z114" s="8">
        <v>6.2700003390000001</v>
      </c>
      <c r="AA114" s="8">
        <v>2.9999999329999998</v>
      </c>
      <c r="AC114" s="151">
        <v>13</v>
      </c>
      <c r="AD114" s="8">
        <f t="shared" si="9"/>
        <v>12.74</v>
      </c>
      <c r="AF114" s="152">
        <v>11.3154</v>
      </c>
      <c r="AG114" s="152">
        <v>5.4141000000000004</v>
      </c>
    </row>
    <row r="115" spans="1:33" x14ac:dyDescent="0.25">
      <c r="A115" s="99">
        <f t="shared" si="10"/>
        <v>114</v>
      </c>
      <c r="B115" s="8">
        <v>1</v>
      </c>
      <c r="C115" s="8">
        <v>15.0197</v>
      </c>
      <c r="D115" s="8">
        <v>7.4447000000000001</v>
      </c>
      <c r="E115" s="8">
        <v>0</v>
      </c>
      <c r="F115" s="8">
        <v>0</v>
      </c>
      <c r="G115" s="8">
        <v>1</v>
      </c>
      <c r="H115" s="8">
        <v>1</v>
      </c>
      <c r="I115" s="8">
        <v>0</v>
      </c>
      <c r="J115" s="6">
        <v>66</v>
      </c>
      <c r="K115" s="8">
        <v>1</v>
      </c>
      <c r="L115" s="7">
        <v>1.05</v>
      </c>
      <c r="M115" s="100">
        <v>0.95</v>
      </c>
      <c r="N115" s="5" t="s">
        <v>154</v>
      </c>
      <c r="O115" s="57"/>
      <c r="P115" s="58"/>
      <c r="Q115" s="12">
        <v>103.70440000000001</v>
      </c>
      <c r="R115" s="12">
        <v>1.2593166666666666</v>
      </c>
      <c r="S115" s="136" t="s">
        <v>954</v>
      </c>
      <c r="T115" s="136">
        <v>1</v>
      </c>
      <c r="U115" s="151">
        <v>17</v>
      </c>
      <c r="V115" s="93">
        <f t="shared" si="7"/>
        <v>15.231598035701609</v>
      </c>
      <c r="W115" s="93">
        <f t="shared" si="8"/>
        <v>7.5497298811819018</v>
      </c>
      <c r="X115" s="93">
        <f t="shared" si="11"/>
        <v>0.89597635504127116</v>
      </c>
      <c r="Z115" s="8">
        <v>8.0700002610000006</v>
      </c>
      <c r="AA115" s="8">
        <v>3.9999999110000002</v>
      </c>
      <c r="AC115" s="151">
        <v>17</v>
      </c>
      <c r="AD115" s="8">
        <f t="shared" si="9"/>
        <v>16.66</v>
      </c>
      <c r="AF115" s="152">
        <v>15.0197</v>
      </c>
      <c r="AG115" s="152">
        <v>7.4447000000000001</v>
      </c>
    </row>
    <row r="116" spans="1:33" x14ac:dyDescent="0.25">
      <c r="A116" s="99">
        <f t="shared" si="10"/>
        <v>115</v>
      </c>
      <c r="B116" s="8">
        <v>1</v>
      </c>
      <c r="C116" s="8">
        <v>12.916700000000001</v>
      </c>
      <c r="D116" s="8">
        <v>6.1425000000000001</v>
      </c>
      <c r="E116" s="8">
        <v>0</v>
      </c>
      <c r="F116" s="8">
        <v>0</v>
      </c>
      <c r="G116" s="8">
        <v>1</v>
      </c>
      <c r="H116" s="8">
        <v>1</v>
      </c>
      <c r="I116" s="8">
        <v>0</v>
      </c>
      <c r="J116" s="6">
        <v>66</v>
      </c>
      <c r="K116" s="8">
        <v>1</v>
      </c>
      <c r="L116" s="7">
        <v>1.05</v>
      </c>
      <c r="M116" s="100">
        <v>0.95</v>
      </c>
      <c r="N116" s="5" t="s">
        <v>158</v>
      </c>
      <c r="O116" s="57"/>
      <c r="P116" s="58"/>
      <c r="Q116" s="12">
        <v>103.70538333333333</v>
      </c>
      <c r="R116" s="12">
        <v>1.2581333333333333</v>
      </c>
      <c r="S116" s="136" t="s">
        <v>952</v>
      </c>
      <c r="T116" s="136">
        <v>1</v>
      </c>
      <c r="U116" s="151">
        <v>15</v>
      </c>
      <c r="V116" s="93">
        <f t="shared" si="7"/>
        <v>13.546288646040301</v>
      </c>
      <c r="W116" s="93">
        <f t="shared" si="8"/>
        <v>6.4418990925160902</v>
      </c>
      <c r="X116" s="93">
        <f t="shared" si="11"/>
        <v>0.9030859097360201</v>
      </c>
      <c r="Z116" s="8">
        <v>7.3600001629999996</v>
      </c>
      <c r="AA116" s="8">
        <v>3.5000000149999999</v>
      </c>
      <c r="AC116" s="151">
        <v>15</v>
      </c>
      <c r="AD116" s="8">
        <f t="shared" si="9"/>
        <v>14.7</v>
      </c>
      <c r="AF116" s="152">
        <v>12.916700000000001</v>
      </c>
      <c r="AG116" s="152">
        <v>6.1425000000000001</v>
      </c>
    </row>
    <row r="117" spans="1:33" x14ac:dyDescent="0.25">
      <c r="A117" s="99">
        <f t="shared" si="10"/>
        <v>116</v>
      </c>
      <c r="B117" s="8">
        <v>1</v>
      </c>
      <c r="C117" s="8">
        <v>4.0289999999999999</v>
      </c>
      <c r="D117" s="8">
        <v>2.0487000000000002</v>
      </c>
      <c r="E117" s="8">
        <v>0</v>
      </c>
      <c r="F117" s="8">
        <v>0</v>
      </c>
      <c r="G117" s="8">
        <v>1</v>
      </c>
      <c r="H117" s="8">
        <v>1</v>
      </c>
      <c r="I117" s="8">
        <v>0</v>
      </c>
      <c r="J117" s="6">
        <v>66</v>
      </c>
      <c r="K117" s="8">
        <v>1</v>
      </c>
      <c r="L117" s="7">
        <v>1.05</v>
      </c>
      <c r="M117" s="100">
        <v>0.95</v>
      </c>
      <c r="N117" s="5" t="s">
        <v>159</v>
      </c>
      <c r="O117" s="57"/>
      <c r="P117" s="58"/>
      <c r="Q117" s="12">
        <v>103.70653333333334</v>
      </c>
      <c r="R117" s="12">
        <v>1.2583166666666667</v>
      </c>
      <c r="S117" s="136" t="s">
        <v>955</v>
      </c>
      <c r="T117" s="136">
        <v>1</v>
      </c>
      <c r="U117" s="151">
        <v>5</v>
      </c>
      <c r="V117" s="93">
        <f t="shared" si="7"/>
        <v>4.456900653202414</v>
      </c>
      <c r="W117" s="93">
        <f t="shared" si="8"/>
        <v>2.2662825436127556</v>
      </c>
      <c r="X117" s="93">
        <f t="shared" si="11"/>
        <v>0.89138013064048272</v>
      </c>
      <c r="Z117" s="8">
        <v>2.3600000890000001</v>
      </c>
      <c r="AA117" s="8">
        <v>1.2000000099999999</v>
      </c>
      <c r="AC117" s="151">
        <v>5</v>
      </c>
      <c r="AD117" s="8">
        <f t="shared" si="9"/>
        <v>4.9000000000000004</v>
      </c>
      <c r="AF117" s="152">
        <v>4.0289999999999999</v>
      </c>
      <c r="AG117" s="152">
        <v>2.0487000000000002</v>
      </c>
    </row>
    <row r="118" spans="1:33" x14ac:dyDescent="0.25">
      <c r="A118" s="99">
        <f t="shared" si="10"/>
        <v>117</v>
      </c>
      <c r="B118" s="8">
        <v>1</v>
      </c>
      <c r="C118" s="8">
        <v>5.0237999999999996</v>
      </c>
      <c r="D118" s="8">
        <v>2.5118999999999998</v>
      </c>
      <c r="E118" s="8">
        <v>0</v>
      </c>
      <c r="F118" s="8">
        <v>0</v>
      </c>
      <c r="G118" s="8">
        <v>1</v>
      </c>
      <c r="H118" s="8">
        <v>1</v>
      </c>
      <c r="I118" s="8">
        <v>0</v>
      </c>
      <c r="J118" s="6">
        <v>66</v>
      </c>
      <c r="K118" s="8">
        <v>1</v>
      </c>
      <c r="L118" s="7">
        <v>1.05</v>
      </c>
      <c r="M118" s="100">
        <v>0.95</v>
      </c>
      <c r="N118" s="5" t="s">
        <v>160</v>
      </c>
      <c r="O118" s="57"/>
      <c r="P118" s="58"/>
      <c r="Q118" s="12">
        <v>103.70653333333334</v>
      </c>
      <c r="R118" s="12">
        <v>1.2583166666666667</v>
      </c>
      <c r="S118" s="136" t="s">
        <v>955</v>
      </c>
      <c r="T118" s="136">
        <v>1</v>
      </c>
      <c r="U118" s="151">
        <v>6</v>
      </c>
      <c r="V118" s="93">
        <f t="shared" si="7"/>
        <v>5.3665631459994954</v>
      </c>
      <c r="W118" s="93">
        <f t="shared" si="8"/>
        <v>2.6832815729997477</v>
      </c>
      <c r="X118" s="93">
        <f t="shared" si="11"/>
        <v>0.89442719099991586</v>
      </c>
      <c r="Z118" s="8">
        <v>2.8999999170000001</v>
      </c>
      <c r="AA118" s="8">
        <v>1.449999958</v>
      </c>
      <c r="AC118" s="151">
        <v>6</v>
      </c>
      <c r="AD118" s="8">
        <f t="shared" si="9"/>
        <v>5.88</v>
      </c>
      <c r="AF118" s="152">
        <v>5.0237999999999996</v>
      </c>
      <c r="AG118" s="152">
        <v>2.5118999999999998</v>
      </c>
    </row>
    <row r="119" spans="1:33" x14ac:dyDescent="0.25">
      <c r="A119" s="99">
        <f t="shared" si="10"/>
        <v>118</v>
      </c>
      <c r="B119" s="8">
        <v>1</v>
      </c>
      <c r="C119" s="8">
        <v>27.451799999999999</v>
      </c>
      <c r="D119" s="8">
        <v>13.116899999999999</v>
      </c>
      <c r="E119" s="8">
        <v>0</v>
      </c>
      <c r="F119" s="8">
        <v>0</v>
      </c>
      <c r="G119" s="8">
        <v>1</v>
      </c>
      <c r="H119" s="8">
        <v>1</v>
      </c>
      <c r="I119" s="8">
        <v>0</v>
      </c>
      <c r="J119" s="6">
        <v>66</v>
      </c>
      <c r="K119" s="8">
        <v>1</v>
      </c>
      <c r="L119" s="7">
        <v>1.05</v>
      </c>
      <c r="M119" s="100">
        <v>0.95</v>
      </c>
      <c r="N119" s="5" t="s">
        <v>163</v>
      </c>
      <c r="O119" s="57"/>
      <c r="P119" s="58"/>
      <c r="Q119" s="12">
        <v>103.70653333333334</v>
      </c>
      <c r="R119" s="12">
        <v>1.2583166666666667</v>
      </c>
      <c r="S119" s="136" t="s">
        <v>955</v>
      </c>
      <c r="T119" s="136">
        <v>1</v>
      </c>
      <c r="U119" s="151">
        <v>31</v>
      </c>
      <c r="V119" s="93">
        <f t="shared" si="7"/>
        <v>27.971006083610717</v>
      </c>
      <c r="W119" s="93">
        <f t="shared" si="8"/>
        <v>13.364984798742279</v>
      </c>
      <c r="X119" s="93">
        <f t="shared" si="11"/>
        <v>0.90229051882615219</v>
      </c>
      <c r="Z119" s="8">
        <v>14.650000629999999</v>
      </c>
      <c r="AA119" s="8">
        <v>7.0000000299999998</v>
      </c>
      <c r="AC119" s="151">
        <v>31</v>
      </c>
      <c r="AD119" s="8">
        <f t="shared" si="9"/>
        <v>30.38</v>
      </c>
      <c r="AF119" s="152">
        <v>27.451799999999999</v>
      </c>
      <c r="AG119" s="152">
        <v>13.116899999999999</v>
      </c>
    </row>
    <row r="120" spans="1:33" x14ac:dyDescent="0.25">
      <c r="A120" s="99">
        <f t="shared" si="10"/>
        <v>119</v>
      </c>
      <c r="B120" s="8">
        <v>1</v>
      </c>
      <c r="C120" s="8">
        <v>14.121600000000001</v>
      </c>
      <c r="D120" s="8">
        <v>6.8997999999999999</v>
      </c>
      <c r="E120" s="8">
        <v>0</v>
      </c>
      <c r="F120" s="8">
        <v>0</v>
      </c>
      <c r="G120" s="8">
        <v>1</v>
      </c>
      <c r="H120" s="8">
        <v>1</v>
      </c>
      <c r="I120" s="8">
        <v>0</v>
      </c>
      <c r="J120" s="6">
        <v>22</v>
      </c>
      <c r="K120" s="8">
        <v>1</v>
      </c>
      <c r="L120" s="7">
        <v>1.05</v>
      </c>
      <c r="M120" s="100">
        <v>0.95</v>
      </c>
      <c r="N120" s="5" t="s">
        <v>162</v>
      </c>
      <c r="O120" s="57"/>
      <c r="P120" s="58"/>
      <c r="Q120" s="12">
        <v>103.67861666666667</v>
      </c>
      <c r="R120" s="12">
        <v>1.2661833333333332</v>
      </c>
      <c r="S120" s="133" t="s">
        <v>953</v>
      </c>
      <c r="T120" s="133">
        <v>4</v>
      </c>
      <c r="U120" s="151">
        <v>16</v>
      </c>
      <c r="V120" s="93">
        <f t="shared" si="7"/>
        <v>14.375793599903687</v>
      </c>
      <c r="W120" s="93">
        <f t="shared" si="8"/>
        <v>7.0239987452282602</v>
      </c>
      <c r="X120" s="93">
        <f t="shared" si="11"/>
        <v>0.89848709999398046</v>
      </c>
      <c r="Z120" s="8">
        <v>9.2100001870000003</v>
      </c>
      <c r="AA120" s="8">
        <v>4.5000001789999997</v>
      </c>
      <c r="AC120" s="151">
        <v>16</v>
      </c>
      <c r="AD120" s="8">
        <f t="shared" si="9"/>
        <v>15.68</v>
      </c>
      <c r="AF120" s="152">
        <v>14.121600000000001</v>
      </c>
      <c r="AG120" s="152">
        <v>6.8997999999999999</v>
      </c>
    </row>
    <row r="121" spans="1:33" x14ac:dyDescent="0.25">
      <c r="A121" s="99">
        <f t="shared" si="10"/>
        <v>120</v>
      </c>
      <c r="B121" s="8">
        <v>1</v>
      </c>
      <c r="C121" s="8">
        <v>3.4348000000000001</v>
      </c>
      <c r="D121" s="8">
        <v>1.6948000000000001</v>
      </c>
      <c r="E121" s="8">
        <v>0</v>
      </c>
      <c r="F121" s="8">
        <v>0</v>
      </c>
      <c r="G121" s="8">
        <v>1</v>
      </c>
      <c r="H121" s="8">
        <v>1</v>
      </c>
      <c r="I121" s="8">
        <v>0</v>
      </c>
      <c r="J121" s="6">
        <v>22</v>
      </c>
      <c r="K121" s="8">
        <v>1</v>
      </c>
      <c r="L121" s="7">
        <v>1.05</v>
      </c>
      <c r="M121" s="100">
        <v>0.95</v>
      </c>
      <c r="N121" s="5" t="s">
        <v>161</v>
      </c>
      <c r="O121" s="57"/>
      <c r="P121" s="58"/>
      <c r="Q121" s="12">
        <v>103.68</v>
      </c>
      <c r="R121" s="12">
        <v>1.2626166666666667</v>
      </c>
      <c r="S121" s="133" t="s">
        <v>953</v>
      </c>
      <c r="T121" s="133">
        <v>4</v>
      </c>
      <c r="U121" s="151">
        <v>6</v>
      </c>
      <c r="V121" s="93">
        <f t="shared" si="7"/>
        <v>5.380649661556042</v>
      </c>
      <c r="W121" s="93">
        <f t="shared" si="8"/>
        <v>2.6549216974511416</v>
      </c>
      <c r="X121" s="93">
        <f t="shared" ref="X121:X152" si="12">IF(C121&gt;0, C121/SQRT(C121*C121+D121*D121), 0)</f>
        <v>0.89677494359267362</v>
      </c>
      <c r="Z121" s="8">
        <v>3.0400000509999998</v>
      </c>
      <c r="AA121" s="8">
        <v>1.4999999660000001</v>
      </c>
      <c r="AC121" s="151">
        <v>6</v>
      </c>
      <c r="AD121" s="8">
        <f t="shared" si="9"/>
        <v>5.88</v>
      </c>
      <c r="AF121" s="152">
        <v>3.4348000000000001</v>
      </c>
      <c r="AG121" s="152">
        <v>1.6948000000000001</v>
      </c>
    </row>
    <row r="122" spans="1:33" x14ac:dyDescent="0.25">
      <c r="A122" s="99">
        <f t="shared" si="10"/>
        <v>121</v>
      </c>
      <c r="B122" s="8">
        <v>1</v>
      </c>
      <c r="C122" s="8">
        <v>2.3995000000000002</v>
      </c>
      <c r="D122" s="8">
        <v>1.1777</v>
      </c>
      <c r="E122" s="8">
        <v>0</v>
      </c>
      <c r="F122" s="8">
        <v>0</v>
      </c>
      <c r="G122" s="8">
        <v>1</v>
      </c>
      <c r="H122" s="8">
        <v>1</v>
      </c>
      <c r="I122" s="8">
        <v>0</v>
      </c>
      <c r="J122" s="6">
        <v>22</v>
      </c>
      <c r="K122" s="8">
        <v>1</v>
      </c>
      <c r="L122" s="7">
        <v>1.05</v>
      </c>
      <c r="M122" s="100">
        <v>0.95</v>
      </c>
      <c r="N122" s="5" t="s">
        <v>110</v>
      </c>
      <c r="O122" s="57"/>
      <c r="P122" s="58"/>
      <c r="Q122" s="12">
        <v>103.6994</v>
      </c>
      <c r="R122" s="12">
        <v>1.2600666666666667</v>
      </c>
      <c r="S122" s="136" t="s">
        <v>956</v>
      </c>
      <c r="T122" s="136">
        <v>1</v>
      </c>
      <c r="U122" s="151">
        <v>3</v>
      </c>
      <c r="V122" s="93">
        <f t="shared" ref="V122:V185" si="13">U122*X122</f>
        <v>2.6931077643525221</v>
      </c>
      <c r="W122" s="93">
        <f t="shared" ref="W122:W185" si="14">IF(X122&gt;0,SQRT((V122/X122)^2-V122^2), 0)</f>
        <v>1.3218057987405563</v>
      </c>
      <c r="X122" s="93">
        <f t="shared" si="12"/>
        <v>0.89770258811750736</v>
      </c>
      <c r="Z122" s="8">
        <v>1.630000025</v>
      </c>
      <c r="AA122" s="8">
        <v>0.80000003799999997</v>
      </c>
      <c r="AC122" s="151">
        <v>3</v>
      </c>
      <c r="AD122" s="8">
        <f t="shared" si="9"/>
        <v>2.94</v>
      </c>
      <c r="AF122" s="152">
        <v>2.3995000000000002</v>
      </c>
      <c r="AG122" s="152">
        <v>1.1777</v>
      </c>
    </row>
    <row r="123" spans="1:33" x14ac:dyDescent="0.25">
      <c r="A123" s="99">
        <f t="shared" si="10"/>
        <v>122</v>
      </c>
      <c r="B123" s="8">
        <v>1</v>
      </c>
      <c r="C123" s="8">
        <v>6.0688000000000004</v>
      </c>
      <c r="D123" s="8">
        <v>2.9561000000000002</v>
      </c>
      <c r="E123" s="8">
        <v>0</v>
      </c>
      <c r="F123" s="8">
        <v>0</v>
      </c>
      <c r="G123" s="8">
        <v>1</v>
      </c>
      <c r="H123" s="8">
        <v>1</v>
      </c>
      <c r="I123" s="8">
        <v>0</v>
      </c>
      <c r="J123" s="6">
        <v>22</v>
      </c>
      <c r="K123" s="8">
        <v>1</v>
      </c>
      <c r="L123" s="7">
        <v>1.05</v>
      </c>
      <c r="M123" s="100">
        <v>0.95</v>
      </c>
      <c r="N123" s="5" t="s">
        <v>124</v>
      </c>
      <c r="O123" s="57"/>
      <c r="P123" s="58"/>
      <c r="Q123" s="12">
        <v>103.6981</v>
      </c>
      <c r="R123" s="12">
        <v>1.25935</v>
      </c>
      <c r="S123" s="136" t="s">
        <v>956</v>
      </c>
      <c r="T123" s="136">
        <v>1</v>
      </c>
      <c r="U123" s="151">
        <v>7</v>
      </c>
      <c r="V123" s="93">
        <f t="shared" si="13"/>
        <v>6.2931311165156103</v>
      </c>
      <c r="W123" s="93">
        <f t="shared" si="14"/>
        <v>3.0653712255358219</v>
      </c>
      <c r="X123" s="93">
        <f t="shared" si="12"/>
        <v>0.89901873093080142</v>
      </c>
      <c r="Z123" s="8">
        <v>3.4899998459999999</v>
      </c>
      <c r="AA123" s="8">
        <v>1.700000092</v>
      </c>
      <c r="AC123" s="151">
        <v>7</v>
      </c>
      <c r="AD123" s="8">
        <f t="shared" si="9"/>
        <v>6.8599999999999994</v>
      </c>
      <c r="AF123" s="152">
        <v>6.0688000000000004</v>
      </c>
      <c r="AG123" s="152">
        <v>2.9561000000000002</v>
      </c>
    </row>
    <row r="124" spans="1:33" x14ac:dyDescent="0.25">
      <c r="A124" s="99">
        <f t="shared" si="10"/>
        <v>123</v>
      </c>
      <c r="B124" s="8">
        <v>1</v>
      </c>
      <c r="C124" s="8">
        <v>27.874199999999998</v>
      </c>
      <c r="D124" s="8">
        <v>13.842700000000001</v>
      </c>
      <c r="E124" s="8">
        <v>0</v>
      </c>
      <c r="F124" s="8">
        <v>0</v>
      </c>
      <c r="G124" s="8">
        <v>1</v>
      </c>
      <c r="H124" s="8">
        <v>1</v>
      </c>
      <c r="I124" s="8">
        <v>0</v>
      </c>
      <c r="J124" s="6">
        <v>22</v>
      </c>
      <c r="K124" s="8">
        <v>1</v>
      </c>
      <c r="L124" s="7">
        <v>1.05</v>
      </c>
      <c r="M124" s="100">
        <v>0.95</v>
      </c>
      <c r="N124" s="5" t="s">
        <v>128</v>
      </c>
      <c r="O124" s="57"/>
      <c r="P124" s="58"/>
      <c r="Q124" s="12">
        <v>103.69851666666666</v>
      </c>
      <c r="R124" s="12">
        <v>1.2589333333333332</v>
      </c>
      <c r="S124" s="133" t="s">
        <v>953</v>
      </c>
      <c r="T124" s="133">
        <v>4</v>
      </c>
      <c r="U124" s="151">
        <v>36</v>
      </c>
      <c r="V124" s="93">
        <f t="shared" si="13"/>
        <v>32.242938523150144</v>
      </c>
      <c r="W124" s="93">
        <f t="shared" si="14"/>
        <v>16.012273898243201</v>
      </c>
      <c r="X124" s="93">
        <f t="shared" si="12"/>
        <v>0.89563718119861513</v>
      </c>
      <c r="Z124" s="8">
        <v>22.149999439999998</v>
      </c>
      <c r="AA124" s="8">
        <v>10.99999994</v>
      </c>
      <c r="AC124" s="151">
        <v>36</v>
      </c>
      <c r="AD124" s="8">
        <f t="shared" si="9"/>
        <v>35.28</v>
      </c>
      <c r="AF124" s="152">
        <v>27.874199999999998</v>
      </c>
      <c r="AG124" s="152">
        <v>13.842700000000001</v>
      </c>
    </row>
    <row r="125" spans="1:33" x14ac:dyDescent="0.25">
      <c r="A125" s="99">
        <f t="shared" si="10"/>
        <v>124</v>
      </c>
      <c r="B125" s="8">
        <v>1</v>
      </c>
      <c r="C125" s="8">
        <v>2.5842999999999998</v>
      </c>
      <c r="D125" s="8">
        <v>1.2455000000000001</v>
      </c>
      <c r="E125" s="8">
        <v>0</v>
      </c>
      <c r="F125" s="8">
        <v>0</v>
      </c>
      <c r="G125" s="8">
        <v>1</v>
      </c>
      <c r="H125" s="8">
        <v>1</v>
      </c>
      <c r="I125" s="8">
        <v>0</v>
      </c>
      <c r="J125" s="6">
        <v>22</v>
      </c>
      <c r="K125" s="8">
        <v>1</v>
      </c>
      <c r="L125" s="7">
        <v>1.05</v>
      </c>
      <c r="M125" s="100">
        <v>0.95</v>
      </c>
      <c r="N125" s="5" t="s">
        <v>138</v>
      </c>
      <c r="O125" s="57"/>
      <c r="P125" s="58"/>
      <c r="Q125" s="12">
        <v>103.69856666666666</v>
      </c>
      <c r="R125" s="12">
        <v>1.2546333333333333</v>
      </c>
      <c r="S125" s="136" t="s">
        <v>936</v>
      </c>
      <c r="T125" s="136">
        <v>1</v>
      </c>
      <c r="U125" s="151">
        <v>3</v>
      </c>
      <c r="V125" s="93">
        <f t="shared" si="13"/>
        <v>2.7025112898738715</v>
      </c>
      <c r="W125" s="93">
        <f t="shared" si="14"/>
        <v>1.3024717763177303</v>
      </c>
      <c r="X125" s="93">
        <f t="shared" si="12"/>
        <v>0.90083709662462386</v>
      </c>
      <c r="Z125" s="8">
        <v>1.659999974</v>
      </c>
      <c r="AA125" s="8">
        <v>0.80000003799999997</v>
      </c>
      <c r="AC125" s="151">
        <v>3</v>
      </c>
      <c r="AD125" s="8">
        <f t="shared" si="9"/>
        <v>2.94</v>
      </c>
      <c r="AF125" s="152">
        <v>2.5842999999999998</v>
      </c>
      <c r="AG125" s="152">
        <v>1.2455000000000001</v>
      </c>
    </row>
    <row r="126" spans="1:33" x14ac:dyDescent="0.25">
      <c r="A126" s="99">
        <f t="shared" si="10"/>
        <v>125</v>
      </c>
      <c r="B126" s="8">
        <v>1</v>
      </c>
      <c r="C126" s="8">
        <v>3.2961</v>
      </c>
      <c r="D126" s="8">
        <v>1.508</v>
      </c>
      <c r="E126" s="8">
        <v>0</v>
      </c>
      <c r="F126" s="8">
        <v>0</v>
      </c>
      <c r="G126" s="8">
        <v>1</v>
      </c>
      <c r="H126" s="8">
        <v>1</v>
      </c>
      <c r="I126" s="8">
        <v>0</v>
      </c>
      <c r="J126" s="6">
        <v>22</v>
      </c>
      <c r="K126" s="8">
        <v>1</v>
      </c>
      <c r="L126" s="7">
        <v>1.05</v>
      </c>
      <c r="M126" s="100">
        <v>0.95</v>
      </c>
      <c r="N126" s="5" t="s">
        <v>139</v>
      </c>
      <c r="O126" s="57"/>
      <c r="P126" s="58"/>
      <c r="Q126" s="12">
        <v>103.69889999999999</v>
      </c>
      <c r="R126" s="12">
        <v>1.2533833333333333</v>
      </c>
      <c r="S126" s="136" t="s">
        <v>957</v>
      </c>
      <c r="T126" s="136">
        <v>1</v>
      </c>
      <c r="U126" s="151">
        <v>4</v>
      </c>
      <c r="V126" s="93">
        <f t="shared" si="13"/>
        <v>3.637392235011411</v>
      </c>
      <c r="W126" s="93">
        <f t="shared" si="14"/>
        <v>1.6641447439086219</v>
      </c>
      <c r="X126" s="93">
        <f t="shared" si="12"/>
        <v>0.90934805875285274</v>
      </c>
      <c r="Z126" s="8">
        <v>1.5300000090000001</v>
      </c>
      <c r="AA126" s="8">
        <v>0.700000022</v>
      </c>
      <c r="AC126" s="151">
        <v>4</v>
      </c>
      <c r="AD126" s="8">
        <f t="shared" si="9"/>
        <v>3.92</v>
      </c>
      <c r="AF126" s="152">
        <v>3.2961</v>
      </c>
      <c r="AG126" s="152">
        <v>1.508</v>
      </c>
    </row>
    <row r="127" spans="1:33" x14ac:dyDescent="0.25">
      <c r="A127" s="99">
        <f t="shared" si="10"/>
        <v>126</v>
      </c>
      <c r="B127" s="8">
        <v>1</v>
      </c>
      <c r="C127" s="8">
        <v>10.054600000000001</v>
      </c>
      <c r="D127" s="8">
        <v>4.8509000000000002</v>
      </c>
      <c r="E127" s="8">
        <v>0</v>
      </c>
      <c r="F127" s="8">
        <v>0</v>
      </c>
      <c r="G127" s="8">
        <v>1</v>
      </c>
      <c r="H127" s="8">
        <v>1</v>
      </c>
      <c r="I127" s="8">
        <v>0</v>
      </c>
      <c r="J127" s="6">
        <v>22</v>
      </c>
      <c r="K127" s="8">
        <v>1</v>
      </c>
      <c r="L127" s="7">
        <v>1.05</v>
      </c>
      <c r="M127" s="100">
        <v>0.95</v>
      </c>
      <c r="N127" s="5" t="s">
        <v>144</v>
      </c>
      <c r="O127" s="57"/>
      <c r="P127" s="58"/>
      <c r="Q127" s="12">
        <v>103.69733333333333</v>
      </c>
      <c r="R127" s="12">
        <v>1.2534333333333334</v>
      </c>
      <c r="S127" s="136" t="s">
        <v>957</v>
      </c>
      <c r="T127" s="136">
        <v>1</v>
      </c>
      <c r="U127" s="151">
        <v>12</v>
      </c>
      <c r="V127" s="93">
        <f t="shared" si="13"/>
        <v>10.80790071573929</v>
      </c>
      <c r="W127" s="93">
        <f t="shared" si="14"/>
        <v>5.214334292958422</v>
      </c>
      <c r="X127" s="93">
        <f t="shared" si="12"/>
        <v>0.9006583929782741</v>
      </c>
      <c r="Z127" s="8">
        <v>11.400000009999999</v>
      </c>
      <c r="AA127" s="8">
        <v>5.4999999700000002</v>
      </c>
      <c r="AC127" s="151">
        <v>12</v>
      </c>
      <c r="AD127" s="8">
        <f t="shared" si="9"/>
        <v>11.76</v>
      </c>
      <c r="AF127" s="152">
        <v>10.054600000000001</v>
      </c>
      <c r="AG127" s="152">
        <v>4.8509000000000002</v>
      </c>
    </row>
    <row r="128" spans="1:33" x14ac:dyDescent="0.25">
      <c r="A128" s="99">
        <f t="shared" si="10"/>
        <v>127</v>
      </c>
      <c r="B128" s="8">
        <v>1</v>
      </c>
      <c r="C128" s="8">
        <v>4.4516999999999998</v>
      </c>
      <c r="D128" s="8">
        <v>2.1716000000000002</v>
      </c>
      <c r="E128" s="8">
        <v>0</v>
      </c>
      <c r="F128" s="8">
        <v>0</v>
      </c>
      <c r="G128" s="8">
        <v>1</v>
      </c>
      <c r="H128" s="8">
        <v>1</v>
      </c>
      <c r="I128" s="8">
        <v>0</v>
      </c>
      <c r="J128" s="6">
        <v>22</v>
      </c>
      <c r="K128" s="8">
        <v>1</v>
      </c>
      <c r="L128" s="7">
        <v>1.05</v>
      </c>
      <c r="M128" s="100">
        <v>0.95</v>
      </c>
      <c r="N128" s="5" t="s">
        <v>106</v>
      </c>
      <c r="O128" s="57"/>
      <c r="P128" s="58"/>
      <c r="Q128" s="12">
        <v>103.69886666666666</v>
      </c>
      <c r="R128" s="12">
        <v>1.2619333333333334</v>
      </c>
      <c r="S128" s="136" t="s">
        <v>957</v>
      </c>
      <c r="T128" s="136">
        <v>1</v>
      </c>
      <c r="U128" s="151">
        <v>5</v>
      </c>
      <c r="V128" s="93">
        <f t="shared" si="13"/>
        <v>4.4938267053687584</v>
      </c>
      <c r="W128" s="93">
        <f t="shared" si="14"/>
        <v>2.1921499816651617</v>
      </c>
      <c r="X128" s="93">
        <f t="shared" si="12"/>
        <v>0.89876534107375161</v>
      </c>
      <c r="Z128" s="8">
        <v>4.1000001130000001</v>
      </c>
      <c r="AA128" s="8">
        <v>1.9999999550000001</v>
      </c>
      <c r="AC128" s="151">
        <v>5</v>
      </c>
      <c r="AD128" s="8">
        <f t="shared" si="9"/>
        <v>4.9000000000000004</v>
      </c>
      <c r="AF128" s="152">
        <v>4.4516999999999998</v>
      </c>
      <c r="AG128" s="152">
        <v>2.1716000000000002</v>
      </c>
    </row>
    <row r="129" spans="1:33" x14ac:dyDescent="0.25">
      <c r="A129" s="99">
        <f t="shared" si="10"/>
        <v>128</v>
      </c>
      <c r="B129" s="8">
        <v>1</v>
      </c>
      <c r="C129" s="8">
        <v>3.4533999999999998</v>
      </c>
      <c r="D129" s="8">
        <v>1.6367</v>
      </c>
      <c r="E129" s="8">
        <v>0</v>
      </c>
      <c r="F129" s="8">
        <v>0</v>
      </c>
      <c r="G129" s="8">
        <v>1</v>
      </c>
      <c r="H129" s="8">
        <v>1</v>
      </c>
      <c r="I129" s="8">
        <v>0</v>
      </c>
      <c r="J129" s="6">
        <v>22</v>
      </c>
      <c r="K129" s="8">
        <v>1</v>
      </c>
      <c r="L129" s="7">
        <v>1.05</v>
      </c>
      <c r="M129" s="100">
        <v>0.95</v>
      </c>
      <c r="N129" s="5" t="s">
        <v>108</v>
      </c>
      <c r="O129" s="57"/>
      <c r="P129" s="58"/>
      <c r="Q129" s="12">
        <v>103.6992</v>
      </c>
      <c r="R129" s="12">
        <v>1.2625333333333333</v>
      </c>
      <c r="S129" s="136" t="s">
        <v>955</v>
      </c>
      <c r="T129" s="136">
        <v>1</v>
      </c>
      <c r="U129" s="151">
        <v>4</v>
      </c>
      <c r="V129" s="93">
        <f t="shared" si="13"/>
        <v>3.6145953598451435</v>
      </c>
      <c r="W129" s="93">
        <f t="shared" si="14"/>
        <v>1.7130967236516323</v>
      </c>
      <c r="X129" s="93">
        <f t="shared" si="12"/>
        <v>0.90364883996128587</v>
      </c>
      <c r="Z129" s="8">
        <v>2.1099999550000001</v>
      </c>
      <c r="AA129" s="8">
        <v>0.99999997799999996</v>
      </c>
      <c r="AC129" s="151">
        <v>4</v>
      </c>
      <c r="AD129" s="8">
        <f t="shared" si="9"/>
        <v>3.92</v>
      </c>
      <c r="AF129" s="152">
        <v>3.4533999999999998</v>
      </c>
      <c r="AG129" s="152">
        <v>1.6367</v>
      </c>
    </row>
    <row r="130" spans="1:33" x14ac:dyDescent="0.25">
      <c r="A130" s="99">
        <f t="shared" si="10"/>
        <v>129</v>
      </c>
      <c r="B130" s="8">
        <v>1</v>
      </c>
      <c r="C130" s="8">
        <v>3.3121</v>
      </c>
      <c r="D130" s="8">
        <v>1.877</v>
      </c>
      <c r="E130" s="8">
        <v>0</v>
      </c>
      <c r="F130" s="8">
        <v>0</v>
      </c>
      <c r="G130" s="8">
        <v>1</v>
      </c>
      <c r="H130" s="8">
        <v>1</v>
      </c>
      <c r="I130" s="8">
        <v>0</v>
      </c>
      <c r="J130" s="6">
        <v>22</v>
      </c>
      <c r="K130" s="8">
        <v>1</v>
      </c>
      <c r="L130" s="7">
        <v>1.05</v>
      </c>
      <c r="M130" s="100">
        <v>0.95</v>
      </c>
      <c r="N130" s="5" t="s">
        <v>109</v>
      </c>
      <c r="O130" s="57"/>
      <c r="P130" s="58"/>
      <c r="Q130" s="12">
        <v>103.69456666666666</v>
      </c>
      <c r="R130" s="12">
        <v>1.2598499999999999</v>
      </c>
      <c r="S130" s="149"/>
      <c r="T130" s="149">
        <v>1</v>
      </c>
      <c r="U130" s="151">
        <v>4</v>
      </c>
      <c r="V130" s="93">
        <f t="shared" si="13"/>
        <v>3.48</v>
      </c>
      <c r="W130" s="93">
        <f t="shared" si="14"/>
        <v>1.972206885699368</v>
      </c>
      <c r="X130" s="93">
        <v>0.87</v>
      </c>
      <c r="Z130" s="8">
        <v>0</v>
      </c>
      <c r="AA130" s="8">
        <v>0</v>
      </c>
      <c r="AC130" s="151">
        <v>4</v>
      </c>
      <c r="AD130" s="8">
        <f t="shared" si="9"/>
        <v>3.92</v>
      </c>
      <c r="AF130" s="152">
        <v>3.3121</v>
      </c>
      <c r="AG130" s="152">
        <v>1.877</v>
      </c>
    </row>
    <row r="131" spans="1:33" x14ac:dyDescent="0.25">
      <c r="A131" s="99">
        <f t="shared" si="10"/>
        <v>130</v>
      </c>
      <c r="B131" s="8">
        <v>1</v>
      </c>
      <c r="C131" s="8">
        <v>9.5890000000000004</v>
      </c>
      <c r="D131" s="8">
        <v>4.7992999999999997</v>
      </c>
      <c r="E131" s="8">
        <v>0</v>
      </c>
      <c r="F131" s="8">
        <v>0</v>
      </c>
      <c r="G131" s="8">
        <v>1</v>
      </c>
      <c r="H131" s="8">
        <v>1</v>
      </c>
      <c r="I131" s="8">
        <v>0</v>
      </c>
      <c r="J131" s="6">
        <v>22</v>
      </c>
      <c r="K131" s="8">
        <v>1</v>
      </c>
      <c r="L131" s="7">
        <v>1.05</v>
      </c>
      <c r="M131" s="100">
        <v>0.95</v>
      </c>
      <c r="N131" s="5" t="s">
        <v>118</v>
      </c>
      <c r="O131" s="57"/>
      <c r="P131" s="58"/>
      <c r="Q131" s="12">
        <v>103.69821666666667</v>
      </c>
      <c r="R131" s="12">
        <v>1.2633666666666667</v>
      </c>
      <c r="S131" s="136" t="s">
        <v>936</v>
      </c>
      <c r="T131" s="136">
        <v>1</v>
      </c>
      <c r="U131" s="151">
        <v>12</v>
      </c>
      <c r="V131" s="93">
        <f t="shared" si="13"/>
        <v>10.73097677436431</v>
      </c>
      <c r="W131" s="93">
        <f t="shared" si="14"/>
        <v>5.370860030577389</v>
      </c>
      <c r="X131" s="93">
        <f t="shared" si="12"/>
        <v>0.8942480645303591</v>
      </c>
      <c r="Z131" s="8">
        <v>9.9899999800000003</v>
      </c>
      <c r="AA131" s="8">
        <v>5.000000075</v>
      </c>
      <c r="AC131" s="151">
        <v>12</v>
      </c>
      <c r="AD131" s="8">
        <f t="shared" ref="AD131:AD194" si="15">AC131*0.98</f>
        <v>11.76</v>
      </c>
      <c r="AF131" s="152">
        <v>9.5890000000000004</v>
      </c>
      <c r="AG131" s="152">
        <v>4.7992999999999997</v>
      </c>
    </row>
    <row r="132" spans="1:33" x14ac:dyDescent="0.25">
      <c r="A132" s="99">
        <f t="shared" ref="A132:A195" si="16">A131+1</f>
        <v>131</v>
      </c>
      <c r="B132" s="8">
        <v>1</v>
      </c>
      <c r="C132" s="8">
        <v>3.3565</v>
      </c>
      <c r="D132" s="8">
        <v>1.6478999999999999</v>
      </c>
      <c r="E132" s="8">
        <v>0</v>
      </c>
      <c r="F132" s="8">
        <v>0</v>
      </c>
      <c r="G132" s="8">
        <v>1</v>
      </c>
      <c r="H132" s="8">
        <v>1</v>
      </c>
      <c r="I132" s="8">
        <v>0</v>
      </c>
      <c r="J132" s="6">
        <v>22</v>
      </c>
      <c r="K132" s="8">
        <v>1</v>
      </c>
      <c r="L132" s="7">
        <v>1.05</v>
      </c>
      <c r="M132" s="100">
        <v>0.95</v>
      </c>
      <c r="N132" s="5" t="s">
        <v>123</v>
      </c>
      <c r="O132" s="57"/>
      <c r="P132" s="58"/>
      <c r="Q132" s="12">
        <v>103.69718333333333</v>
      </c>
      <c r="R132" s="12">
        <v>1.2631000000000001</v>
      </c>
      <c r="S132" s="136" t="s">
        <v>936</v>
      </c>
      <c r="T132" s="136">
        <v>1</v>
      </c>
      <c r="U132" s="151">
        <v>4</v>
      </c>
      <c r="V132" s="93">
        <f t="shared" si="13"/>
        <v>3.5906011938219229</v>
      </c>
      <c r="W132" s="93">
        <f t="shared" si="14"/>
        <v>1.762833817160478</v>
      </c>
      <c r="X132" s="93">
        <f t="shared" si="12"/>
        <v>0.89765029845548072</v>
      </c>
      <c r="Z132" s="8">
        <v>3.869999945</v>
      </c>
      <c r="AA132" s="8">
        <v>1.899999939</v>
      </c>
      <c r="AC132" s="151">
        <v>4</v>
      </c>
      <c r="AD132" s="8">
        <f t="shared" si="15"/>
        <v>3.92</v>
      </c>
      <c r="AF132" s="152">
        <v>3.3565</v>
      </c>
      <c r="AG132" s="152">
        <v>1.6478999999999999</v>
      </c>
    </row>
    <row r="133" spans="1:33" x14ac:dyDescent="0.25">
      <c r="A133" s="99">
        <f t="shared" si="16"/>
        <v>132</v>
      </c>
      <c r="B133" s="8">
        <v>1</v>
      </c>
      <c r="C133" s="8">
        <v>6.4861000000000004</v>
      </c>
      <c r="D133" s="8">
        <v>3.2301000000000002</v>
      </c>
      <c r="E133" s="8">
        <v>0</v>
      </c>
      <c r="F133" s="8">
        <v>0</v>
      </c>
      <c r="G133" s="8">
        <v>1</v>
      </c>
      <c r="H133" s="8">
        <v>1</v>
      </c>
      <c r="I133" s="8">
        <v>0</v>
      </c>
      <c r="J133" s="6">
        <v>22</v>
      </c>
      <c r="K133" s="8">
        <v>1</v>
      </c>
      <c r="L133" s="7">
        <v>1.05</v>
      </c>
      <c r="M133" s="100">
        <v>0.95</v>
      </c>
      <c r="N133" s="5" t="s">
        <v>125</v>
      </c>
      <c r="O133" s="57"/>
      <c r="P133" s="58"/>
      <c r="Q133" s="12">
        <v>103.69506666666666</v>
      </c>
      <c r="R133" s="12">
        <v>1.2616666666666667</v>
      </c>
      <c r="S133" s="136" t="s">
        <v>936</v>
      </c>
      <c r="T133" s="136">
        <v>1</v>
      </c>
      <c r="U133" s="151">
        <v>8</v>
      </c>
      <c r="V133" s="93">
        <f t="shared" si="13"/>
        <v>7.1611274836264487</v>
      </c>
      <c r="W133" s="93">
        <f t="shared" si="14"/>
        <v>3.5662659972651967</v>
      </c>
      <c r="X133" s="93">
        <f t="shared" si="12"/>
        <v>0.89514093545330609</v>
      </c>
      <c r="Z133" s="8">
        <v>2.5100000200000001</v>
      </c>
      <c r="AA133" s="8">
        <v>1.250000019</v>
      </c>
      <c r="AC133" s="151">
        <v>8</v>
      </c>
      <c r="AD133" s="8">
        <f t="shared" si="15"/>
        <v>7.84</v>
      </c>
      <c r="AF133" s="152">
        <v>6.4861000000000004</v>
      </c>
      <c r="AG133" s="152">
        <v>3.2301000000000002</v>
      </c>
    </row>
    <row r="134" spans="1:33" x14ac:dyDescent="0.25">
      <c r="A134" s="99">
        <f t="shared" si="16"/>
        <v>133</v>
      </c>
      <c r="B134" s="8">
        <v>1</v>
      </c>
      <c r="C134" s="8">
        <v>14.4861</v>
      </c>
      <c r="D134" s="8">
        <v>7.2534000000000001</v>
      </c>
      <c r="E134" s="8">
        <v>0</v>
      </c>
      <c r="F134" s="8">
        <v>0</v>
      </c>
      <c r="G134" s="8">
        <v>1</v>
      </c>
      <c r="H134" s="8">
        <v>1</v>
      </c>
      <c r="I134" s="8">
        <v>0</v>
      </c>
      <c r="J134" s="6">
        <v>22</v>
      </c>
      <c r="K134" s="8">
        <v>1</v>
      </c>
      <c r="L134" s="7">
        <v>1.05</v>
      </c>
      <c r="M134" s="100">
        <v>0.95</v>
      </c>
      <c r="N134" s="5" t="s">
        <v>132</v>
      </c>
      <c r="O134" s="57"/>
      <c r="P134" s="58"/>
      <c r="Q134" s="12">
        <v>103.69459999999999</v>
      </c>
      <c r="R134" s="12">
        <v>1.2652666666666668</v>
      </c>
      <c r="S134" s="136" t="s">
        <v>960</v>
      </c>
      <c r="T134" s="136">
        <v>1</v>
      </c>
      <c r="U134" s="151">
        <v>18</v>
      </c>
      <c r="V134" s="93">
        <f t="shared" si="13"/>
        <v>16.095086975236189</v>
      </c>
      <c r="W134" s="93">
        <f t="shared" si="14"/>
        <v>8.0590430734413125</v>
      </c>
      <c r="X134" s="93">
        <f t="shared" si="12"/>
        <v>0.89417149862423273</v>
      </c>
      <c r="Z134" s="8">
        <v>13.97999972</v>
      </c>
      <c r="AA134" s="8">
        <v>7.0000000299999998</v>
      </c>
      <c r="AC134" s="151">
        <v>18</v>
      </c>
      <c r="AD134" s="8">
        <f t="shared" si="15"/>
        <v>17.64</v>
      </c>
      <c r="AF134" s="152">
        <v>14.4861</v>
      </c>
      <c r="AG134" s="152">
        <v>7.2534000000000001</v>
      </c>
    </row>
    <row r="135" spans="1:33" x14ac:dyDescent="0.25">
      <c r="A135" s="99">
        <f t="shared" si="16"/>
        <v>134</v>
      </c>
      <c r="B135" s="8">
        <v>1</v>
      </c>
      <c r="C135" s="8">
        <v>112.4286</v>
      </c>
      <c r="D135" s="8">
        <v>56.545499999999997</v>
      </c>
      <c r="E135" s="8">
        <v>0</v>
      </c>
      <c r="F135" s="8">
        <v>0</v>
      </c>
      <c r="G135" s="8">
        <v>1</v>
      </c>
      <c r="H135" s="8">
        <v>1</v>
      </c>
      <c r="I135" s="8">
        <v>0</v>
      </c>
      <c r="J135" s="104">
        <v>66</v>
      </c>
      <c r="K135" s="8">
        <v>1</v>
      </c>
      <c r="L135" s="7">
        <v>1.05</v>
      </c>
      <c r="M135" s="100">
        <v>0.95</v>
      </c>
      <c r="N135" s="5" t="s">
        <v>184</v>
      </c>
      <c r="O135" s="57"/>
      <c r="P135" s="58"/>
      <c r="Q135" s="12">
        <v>103.68975</v>
      </c>
      <c r="R135" s="12">
        <v>1.2667333333333333</v>
      </c>
      <c r="S135" s="137" t="s">
        <v>932</v>
      </c>
      <c r="T135" s="137">
        <v>3</v>
      </c>
      <c r="U135" s="151">
        <v>136</v>
      </c>
      <c r="V135" s="93">
        <f t="shared" si="13"/>
        <v>121.49859336382494</v>
      </c>
      <c r="W135" s="93">
        <f t="shared" si="14"/>
        <v>61.107215700045728</v>
      </c>
      <c r="X135" s="93">
        <f t="shared" si="12"/>
        <v>0.8933720100281245</v>
      </c>
      <c r="Z135" s="8">
        <v>69.590002299999995</v>
      </c>
      <c r="AA135" s="8">
        <v>34.9999994</v>
      </c>
      <c r="AC135" s="151">
        <v>136</v>
      </c>
      <c r="AD135" s="8">
        <f t="shared" si="15"/>
        <v>133.28</v>
      </c>
      <c r="AF135" s="152">
        <v>112.4286</v>
      </c>
      <c r="AG135" s="152">
        <v>56.545499999999997</v>
      </c>
    </row>
    <row r="136" spans="1:33" x14ac:dyDescent="0.25">
      <c r="A136" s="99">
        <f t="shared" si="16"/>
        <v>135</v>
      </c>
      <c r="B136" s="8">
        <v>1</v>
      </c>
      <c r="C136" s="8">
        <v>0</v>
      </c>
      <c r="D136" s="8">
        <v>0</v>
      </c>
      <c r="E136" s="8">
        <v>0</v>
      </c>
      <c r="F136" s="8">
        <v>0</v>
      </c>
      <c r="G136" s="8">
        <v>1</v>
      </c>
      <c r="H136" s="8">
        <v>1</v>
      </c>
      <c r="I136" s="8">
        <v>0</v>
      </c>
      <c r="J136" s="6">
        <v>22</v>
      </c>
      <c r="K136" s="8">
        <v>1</v>
      </c>
      <c r="L136" s="7">
        <v>1.05</v>
      </c>
      <c r="M136" s="100">
        <v>0.95</v>
      </c>
      <c r="N136" s="5" t="s">
        <v>129</v>
      </c>
      <c r="O136" s="57"/>
      <c r="P136" s="58"/>
      <c r="Q136" s="12">
        <v>103.68385000000001</v>
      </c>
      <c r="R136" s="12">
        <v>1.2701166666666666</v>
      </c>
      <c r="S136" s="139"/>
      <c r="T136" s="139">
        <v>0</v>
      </c>
      <c r="U136" s="151">
        <v>0</v>
      </c>
      <c r="V136" s="93">
        <f t="shared" si="13"/>
        <v>0</v>
      </c>
      <c r="W136" s="93">
        <f t="shared" si="14"/>
        <v>0</v>
      </c>
      <c r="X136" s="93">
        <f t="shared" si="12"/>
        <v>0</v>
      </c>
      <c r="Z136" s="8">
        <v>0</v>
      </c>
      <c r="AA136" s="8">
        <v>0</v>
      </c>
      <c r="AC136" s="151">
        <v>0</v>
      </c>
      <c r="AD136" s="8">
        <f t="shared" si="15"/>
        <v>0</v>
      </c>
      <c r="AF136" s="152">
        <v>0</v>
      </c>
      <c r="AG136" s="152">
        <v>0</v>
      </c>
    </row>
    <row r="137" spans="1:33" x14ac:dyDescent="0.25">
      <c r="A137" s="99">
        <f t="shared" si="16"/>
        <v>136</v>
      </c>
      <c r="B137" s="8">
        <v>1</v>
      </c>
      <c r="C137" s="8">
        <v>4.2897999999999996</v>
      </c>
      <c r="D137" s="8">
        <v>2.1297000000000001</v>
      </c>
      <c r="E137" s="8">
        <v>0</v>
      </c>
      <c r="F137" s="8">
        <v>0</v>
      </c>
      <c r="G137" s="8">
        <v>1</v>
      </c>
      <c r="H137" s="8">
        <v>1</v>
      </c>
      <c r="I137" s="8">
        <v>0</v>
      </c>
      <c r="J137" s="6">
        <v>22</v>
      </c>
      <c r="K137" s="8">
        <v>1</v>
      </c>
      <c r="L137" s="7">
        <v>1.05</v>
      </c>
      <c r="M137" s="100">
        <v>0.95</v>
      </c>
      <c r="N137" s="5" t="s">
        <v>130</v>
      </c>
      <c r="O137" s="57"/>
      <c r="P137" s="58"/>
      <c r="Q137" s="12">
        <v>103.68318333333333</v>
      </c>
      <c r="R137" s="12">
        <v>1.2695833333333333</v>
      </c>
      <c r="S137" s="133" t="s">
        <v>953</v>
      </c>
      <c r="T137" s="133">
        <v>4</v>
      </c>
      <c r="U137" s="151">
        <v>5</v>
      </c>
      <c r="V137" s="93">
        <f t="shared" si="13"/>
        <v>4.4784653352692718</v>
      </c>
      <c r="W137" s="93">
        <f t="shared" si="14"/>
        <v>2.2233641718781678</v>
      </c>
      <c r="X137" s="93">
        <f t="shared" si="12"/>
        <v>0.89569306705385432</v>
      </c>
      <c r="Z137" s="8">
        <v>2.8200000520000001</v>
      </c>
      <c r="AA137" s="8">
        <v>1.4000000429999999</v>
      </c>
      <c r="AC137" s="151">
        <v>5</v>
      </c>
      <c r="AD137" s="8">
        <f t="shared" si="15"/>
        <v>4.9000000000000004</v>
      </c>
      <c r="AF137" s="152">
        <v>4.2897999999999996</v>
      </c>
      <c r="AG137" s="152">
        <v>2.1297000000000001</v>
      </c>
    </row>
    <row r="138" spans="1:33" x14ac:dyDescent="0.25">
      <c r="A138" s="99">
        <f t="shared" si="16"/>
        <v>137</v>
      </c>
      <c r="B138" s="8">
        <v>1</v>
      </c>
      <c r="C138" s="8">
        <v>4.6711999999999998</v>
      </c>
      <c r="D138" s="8">
        <v>2.2997000000000001</v>
      </c>
      <c r="E138" s="8">
        <v>0</v>
      </c>
      <c r="F138" s="8">
        <v>0</v>
      </c>
      <c r="G138" s="8">
        <v>1</v>
      </c>
      <c r="H138" s="8">
        <v>1</v>
      </c>
      <c r="I138" s="8">
        <v>0</v>
      </c>
      <c r="J138" s="6">
        <v>22</v>
      </c>
      <c r="K138" s="8">
        <v>1</v>
      </c>
      <c r="L138" s="7">
        <v>1.05</v>
      </c>
      <c r="M138" s="100">
        <v>0.95</v>
      </c>
      <c r="N138" s="5" t="s">
        <v>134</v>
      </c>
      <c r="O138" s="57"/>
      <c r="P138" s="58"/>
      <c r="Q138" s="12">
        <v>103.68266666666666</v>
      </c>
      <c r="R138" s="12">
        <v>1.2703500000000001</v>
      </c>
      <c r="S138" s="136" t="s">
        <v>936</v>
      </c>
      <c r="T138" s="136">
        <v>1</v>
      </c>
      <c r="U138" s="151">
        <v>6</v>
      </c>
      <c r="V138" s="93">
        <f t="shared" si="13"/>
        <v>5.3830093028532007</v>
      </c>
      <c r="W138" s="93">
        <f t="shared" si="14"/>
        <v>2.6501341183788978</v>
      </c>
      <c r="X138" s="93">
        <f t="shared" si="12"/>
        <v>0.89716821714220008</v>
      </c>
      <c r="Z138" s="8">
        <v>3.2499998809999999</v>
      </c>
      <c r="AA138" s="8">
        <v>1.6000000759999999</v>
      </c>
      <c r="AC138" s="151">
        <v>6</v>
      </c>
      <c r="AD138" s="8">
        <f t="shared" si="15"/>
        <v>5.88</v>
      </c>
      <c r="AF138" s="152">
        <v>4.6711999999999998</v>
      </c>
      <c r="AG138" s="152">
        <v>2.2997000000000001</v>
      </c>
    </row>
    <row r="139" spans="1:33" x14ac:dyDescent="0.25">
      <c r="A139" s="99">
        <f t="shared" si="16"/>
        <v>138</v>
      </c>
      <c r="B139" s="8">
        <v>1</v>
      </c>
      <c r="C139" s="8">
        <v>3.2517999999999998</v>
      </c>
      <c r="D139" s="8">
        <v>1.5714999999999999</v>
      </c>
      <c r="E139" s="8">
        <v>0</v>
      </c>
      <c r="F139" s="8">
        <v>0</v>
      </c>
      <c r="G139" s="8">
        <v>1</v>
      </c>
      <c r="H139" s="8">
        <v>1</v>
      </c>
      <c r="I139" s="8">
        <v>0</v>
      </c>
      <c r="J139" s="6">
        <v>22</v>
      </c>
      <c r="K139" s="8">
        <v>1</v>
      </c>
      <c r="L139" s="7">
        <v>1.05</v>
      </c>
      <c r="M139" s="100">
        <v>0.95</v>
      </c>
      <c r="N139" s="5" t="s">
        <v>135</v>
      </c>
      <c r="O139" s="57"/>
      <c r="P139" s="58"/>
      <c r="Q139" s="12">
        <v>103.68174999999999</v>
      </c>
      <c r="R139" s="12">
        <v>1.2697333333333334</v>
      </c>
      <c r="S139" s="136" t="s">
        <v>961</v>
      </c>
      <c r="T139" s="136">
        <v>1</v>
      </c>
      <c r="U139" s="151">
        <v>4</v>
      </c>
      <c r="V139" s="93">
        <f t="shared" si="13"/>
        <v>3.6014840404881534</v>
      </c>
      <c r="W139" s="93">
        <f t="shared" si="14"/>
        <v>1.7404920873445895</v>
      </c>
      <c r="X139" s="93">
        <f t="shared" si="12"/>
        <v>0.90037101012203835</v>
      </c>
      <c r="Z139" s="8">
        <v>2.690000087</v>
      </c>
      <c r="AA139" s="8">
        <v>1.3000000270000001</v>
      </c>
      <c r="AC139" s="151">
        <v>4</v>
      </c>
      <c r="AD139" s="8">
        <f t="shared" si="15"/>
        <v>3.92</v>
      </c>
      <c r="AF139" s="152">
        <v>3.2517999999999998</v>
      </c>
      <c r="AG139" s="152">
        <v>1.5714999999999999</v>
      </c>
    </row>
    <row r="140" spans="1:33" x14ac:dyDescent="0.25">
      <c r="A140" s="99">
        <f t="shared" si="16"/>
        <v>139</v>
      </c>
      <c r="B140" s="8">
        <v>1</v>
      </c>
      <c r="C140" s="8">
        <v>0</v>
      </c>
      <c r="D140" s="8">
        <v>0</v>
      </c>
      <c r="E140" s="8">
        <v>0</v>
      </c>
      <c r="F140" s="8">
        <v>0</v>
      </c>
      <c r="G140" s="8">
        <v>1</v>
      </c>
      <c r="H140" s="8">
        <v>1</v>
      </c>
      <c r="I140" s="8">
        <v>0</v>
      </c>
      <c r="J140" s="6">
        <v>22</v>
      </c>
      <c r="K140" s="8">
        <v>1</v>
      </c>
      <c r="L140" s="7">
        <v>1.05</v>
      </c>
      <c r="M140" s="100">
        <v>0.95</v>
      </c>
      <c r="N140" s="5" t="s">
        <v>136</v>
      </c>
      <c r="O140" s="57"/>
      <c r="P140" s="58"/>
      <c r="Q140" s="12">
        <v>103.68205</v>
      </c>
      <c r="R140" s="12">
        <v>1.2686999999999999</v>
      </c>
      <c r="S140" s="139"/>
      <c r="T140" s="139">
        <v>0</v>
      </c>
      <c r="U140" s="151">
        <v>0</v>
      </c>
      <c r="V140" s="93">
        <f t="shared" si="13"/>
        <v>0</v>
      </c>
      <c r="W140" s="93">
        <f t="shared" si="14"/>
        <v>0</v>
      </c>
      <c r="X140" s="93">
        <f t="shared" si="12"/>
        <v>0</v>
      </c>
      <c r="Z140" s="8">
        <v>0</v>
      </c>
      <c r="AA140" s="8">
        <v>0</v>
      </c>
      <c r="AC140" s="151">
        <v>0</v>
      </c>
      <c r="AD140" s="8">
        <f t="shared" si="15"/>
        <v>0</v>
      </c>
      <c r="AF140" s="152">
        <v>0</v>
      </c>
      <c r="AG140" s="152">
        <v>0</v>
      </c>
    </row>
    <row r="141" spans="1:33" x14ac:dyDescent="0.25">
      <c r="A141" s="99">
        <f t="shared" si="16"/>
        <v>140</v>
      </c>
      <c r="B141" s="8">
        <v>1</v>
      </c>
      <c r="C141" s="8">
        <v>0</v>
      </c>
      <c r="D141" s="8">
        <v>0</v>
      </c>
      <c r="E141" s="8">
        <v>0</v>
      </c>
      <c r="F141" s="8">
        <v>0</v>
      </c>
      <c r="G141" s="8">
        <v>1</v>
      </c>
      <c r="H141" s="8">
        <v>1</v>
      </c>
      <c r="I141" s="8">
        <v>0</v>
      </c>
      <c r="J141" s="6">
        <v>22</v>
      </c>
      <c r="K141" s="8">
        <v>1</v>
      </c>
      <c r="L141" s="7">
        <v>1.05</v>
      </c>
      <c r="M141" s="100">
        <v>0.95</v>
      </c>
      <c r="N141" s="5" t="s">
        <v>116</v>
      </c>
      <c r="O141" s="57"/>
      <c r="P141" s="58"/>
      <c r="Q141" s="12">
        <v>103.67836666666666</v>
      </c>
      <c r="R141" s="12">
        <v>1.2755166666666666</v>
      </c>
      <c r="S141" s="139"/>
      <c r="T141" s="139">
        <v>0</v>
      </c>
      <c r="U141" s="151">
        <v>0</v>
      </c>
      <c r="V141" s="93">
        <f t="shared" si="13"/>
        <v>0</v>
      </c>
      <c r="W141" s="93">
        <f t="shared" si="14"/>
        <v>0</v>
      </c>
      <c r="X141" s="93">
        <f t="shared" si="12"/>
        <v>0</v>
      </c>
      <c r="Z141" s="8">
        <v>0</v>
      </c>
      <c r="AA141" s="8">
        <v>0</v>
      </c>
      <c r="AC141" s="151">
        <v>0</v>
      </c>
      <c r="AD141" s="8">
        <f t="shared" si="15"/>
        <v>0</v>
      </c>
      <c r="AF141" s="152">
        <v>0</v>
      </c>
      <c r="AG141" s="152">
        <v>0</v>
      </c>
    </row>
    <row r="142" spans="1:33" x14ac:dyDescent="0.25">
      <c r="A142" s="99">
        <f t="shared" si="16"/>
        <v>141</v>
      </c>
      <c r="B142" s="8">
        <v>1</v>
      </c>
      <c r="C142" s="8">
        <v>16.3337</v>
      </c>
      <c r="D142" s="8">
        <v>5.3685999999999998</v>
      </c>
      <c r="E142" s="8">
        <v>0</v>
      </c>
      <c r="F142" s="8">
        <v>0</v>
      </c>
      <c r="G142" s="8">
        <v>1</v>
      </c>
      <c r="H142" s="8">
        <v>1</v>
      </c>
      <c r="I142" s="8">
        <v>0</v>
      </c>
      <c r="J142" s="6">
        <v>22</v>
      </c>
      <c r="K142" s="8">
        <v>1</v>
      </c>
      <c r="L142" s="7">
        <v>1.05</v>
      </c>
      <c r="M142" s="100">
        <v>0.95</v>
      </c>
      <c r="N142" s="5" t="s">
        <v>117</v>
      </c>
      <c r="O142" s="57"/>
      <c r="P142" s="58"/>
      <c r="Q142" s="12">
        <v>103.67443333333334</v>
      </c>
      <c r="R142" s="12">
        <v>1.2740833333333335</v>
      </c>
      <c r="S142" s="149"/>
      <c r="T142" s="149">
        <v>1</v>
      </c>
      <c r="U142" s="151">
        <v>18</v>
      </c>
      <c r="V142" s="93">
        <f t="shared" si="13"/>
        <v>17.099999999999998</v>
      </c>
      <c r="W142" s="93">
        <f t="shared" si="14"/>
        <v>5.6204981985585665</v>
      </c>
      <c r="X142" s="93">
        <v>0.95</v>
      </c>
      <c r="Z142" s="8">
        <v>0</v>
      </c>
      <c r="AA142" s="8">
        <v>0</v>
      </c>
      <c r="AC142" s="151">
        <v>18</v>
      </c>
      <c r="AD142" s="8">
        <f t="shared" si="15"/>
        <v>17.64</v>
      </c>
      <c r="AF142" s="152">
        <v>16.3337</v>
      </c>
      <c r="AG142" s="152">
        <v>5.3685999999999998</v>
      </c>
    </row>
    <row r="143" spans="1:33" x14ac:dyDescent="0.25">
      <c r="A143" s="99">
        <f t="shared" si="16"/>
        <v>142</v>
      </c>
      <c r="B143" s="8">
        <v>1</v>
      </c>
      <c r="C143" s="8">
        <v>0</v>
      </c>
      <c r="D143" s="8">
        <v>0</v>
      </c>
      <c r="E143" s="8">
        <v>0</v>
      </c>
      <c r="F143" s="8">
        <v>0</v>
      </c>
      <c r="G143" s="8">
        <v>1</v>
      </c>
      <c r="H143" s="8">
        <v>1</v>
      </c>
      <c r="I143" s="8">
        <v>0</v>
      </c>
      <c r="J143" s="6">
        <v>22</v>
      </c>
      <c r="K143" s="8">
        <v>1</v>
      </c>
      <c r="L143" s="7">
        <v>1.05</v>
      </c>
      <c r="M143" s="100">
        <v>0.95</v>
      </c>
      <c r="N143" s="5" t="s">
        <v>114</v>
      </c>
      <c r="O143" s="57"/>
      <c r="P143" s="58"/>
      <c r="Q143" s="12">
        <v>103.67675</v>
      </c>
      <c r="R143" s="12">
        <v>1.2769333333333333</v>
      </c>
      <c r="S143" s="139"/>
      <c r="T143" s="139">
        <v>0</v>
      </c>
      <c r="U143" s="151">
        <v>0</v>
      </c>
      <c r="V143" s="93">
        <f t="shared" si="13"/>
        <v>0</v>
      </c>
      <c r="W143" s="93">
        <f t="shared" si="14"/>
        <v>0</v>
      </c>
      <c r="X143" s="93">
        <f t="shared" si="12"/>
        <v>0</v>
      </c>
      <c r="Z143" s="8">
        <v>0</v>
      </c>
      <c r="AA143" s="8">
        <v>0</v>
      </c>
      <c r="AC143" s="151">
        <v>0</v>
      </c>
      <c r="AD143" s="8">
        <f t="shared" si="15"/>
        <v>0</v>
      </c>
      <c r="AF143" s="152">
        <v>0</v>
      </c>
      <c r="AG143" s="152">
        <v>0</v>
      </c>
    </row>
    <row r="144" spans="1:33" x14ac:dyDescent="0.25">
      <c r="A144" s="99">
        <f t="shared" si="16"/>
        <v>143</v>
      </c>
      <c r="B144" s="8">
        <v>1</v>
      </c>
      <c r="C144" s="8">
        <v>0</v>
      </c>
      <c r="D144" s="8">
        <v>0</v>
      </c>
      <c r="E144" s="8">
        <v>0</v>
      </c>
      <c r="F144" s="8">
        <v>0</v>
      </c>
      <c r="G144" s="8">
        <v>1</v>
      </c>
      <c r="H144" s="8">
        <v>1</v>
      </c>
      <c r="I144" s="8">
        <v>0</v>
      </c>
      <c r="J144" s="6">
        <v>22</v>
      </c>
      <c r="K144" s="8">
        <v>1</v>
      </c>
      <c r="L144" s="7">
        <v>1.05</v>
      </c>
      <c r="M144" s="100">
        <v>0.95</v>
      </c>
      <c r="N144" s="5" t="s">
        <v>112</v>
      </c>
      <c r="O144" s="57"/>
      <c r="P144" s="58"/>
      <c r="Q144" s="12">
        <v>103.6754</v>
      </c>
      <c r="R144" s="12">
        <v>1.2789000000000001</v>
      </c>
      <c r="S144" s="139"/>
      <c r="T144" s="139">
        <v>0</v>
      </c>
      <c r="U144" s="151">
        <v>0</v>
      </c>
      <c r="V144" s="93">
        <f t="shared" si="13"/>
        <v>0</v>
      </c>
      <c r="W144" s="93">
        <f t="shared" si="14"/>
        <v>0</v>
      </c>
      <c r="X144" s="93">
        <f t="shared" si="12"/>
        <v>0</v>
      </c>
      <c r="Z144" s="8">
        <v>0</v>
      </c>
      <c r="AA144" s="8">
        <v>0</v>
      </c>
      <c r="AC144" s="151">
        <v>0</v>
      </c>
      <c r="AD144" s="8">
        <f t="shared" si="15"/>
        <v>0</v>
      </c>
      <c r="AF144" s="152">
        <v>0</v>
      </c>
      <c r="AG144" s="152">
        <v>0</v>
      </c>
    </row>
    <row r="145" spans="1:33" x14ac:dyDescent="0.25">
      <c r="A145" s="99">
        <f t="shared" si="16"/>
        <v>144</v>
      </c>
      <c r="B145" s="8">
        <v>1</v>
      </c>
      <c r="C145" s="8">
        <v>0</v>
      </c>
      <c r="D145" s="8">
        <v>0</v>
      </c>
      <c r="E145" s="8">
        <v>0</v>
      </c>
      <c r="F145" s="8">
        <v>0</v>
      </c>
      <c r="G145" s="8">
        <v>1</v>
      </c>
      <c r="H145" s="8">
        <v>1</v>
      </c>
      <c r="I145" s="8">
        <v>0</v>
      </c>
      <c r="J145" s="6">
        <v>22</v>
      </c>
      <c r="K145" s="8">
        <v>1</v>
      </c>
      <c r="L145" s="7">
        <v>1.05</v>
      </c>
      <c r="M145" s="100">
        <v>0.95</v>
      </c>
      <c r="N145" s="5" t="s">
        <v>113</v>
      </c>
      <c r="O145" s="57"/>
      <c r="P145" s="58"/>
      <c r="Q145" s="12">
        <v>103.67368333333333</v>
      </c>
      <c r="R145" s="12">
        <v>1.2796833333333333</v>
      </c>
      <c r="S145" s="139"/>
      <c r="T145" s="139">
        <v>0</v>
      </c>
      <c r="U145" s="151">
        <v>0</v>
      </c>
      <c r="V145" s="93">
        <f t="shared" si="13"/>
        <v>0</v>
      </c>
      <c r="W145" s="93">
        <f t="shared" si="14"/>
        <v>0</v>
      </c>
      <c r="X145" s="93">
        <f t="shared" si="12"/>
        <v>0</v>
      </c>
      <c r="Z145" s="8">
        <v>0</v>
      </c>
      <c r="AA145" s="8">
        <v>0</v>
      </c>
      <c r="AC145" s="151">
        <v>0</v>
      </c>
      <c r="AD145" s="8">
        <f t="shared" si="15"/>
        <v>0</v>
      </c>
      <c r="AF145" s="152">
        <v>0</v>
      </c>
      <c r="AG145" s="152">
        <v>0</v>
      </c>
    </row>
    <row r="146" spans="1:33" x14ac:dyDescent="0.25">
      <c r="A146" s="99">
        <f t="shared" si="16"/>
        <v>145</v>
      </c>
      <c r="B146" s="8">
        <v>1</v>
      </c>
      <c r="C146" s="8">
        <v>0</v>
      </c>
      <c r="D146" s="8">
        <v>0</v>
      </c>
      <c r="E146" s="8">
        <v>0</v>
      </c>
      <c r="F146" s="8">
        <v>0</v>
      </c>
      <c r="G146" s="8">
        <v>1</v>
      </c>
      <c r="H146" s="8">
        <v>1</v>
      </c>
      <c r="I146" s="8">
        <v>0</v>
      </c>
      <c r="J146" s="6">
        <v>22</v>
      </c>
      <c r="K146" s="8">
        <v>1</v>
      </c>
      <c r="L146" s="7">
        <v>1.05</v>
      </c>
      <c r="M146" s="100">
        <v>0.95</v>
      </c>
      <c r="N146" s="5" t="s">
        <v>142</v>
      </c>
      <c r="O146" s="57"/>
      <c r="P146" s="58"/>
      <c r="Q146" s="12">
        <v>103.67789999999999</v>
      </c>
      <c r="R146" s="12">
        <v>1.2822499999999999</v>
      </c>
      <c r="S146" s="139"/>
      <c r="T146" s="139">
        <v>0</v>
      </c>
      <c r="U146" s="151">
        <v>0</v>
      </c>
      <c r="V146" s="93">
        <f t="shared" si="13"/>
        <v>0</v>
      </c>
      <c r="W146" s="93">
        <f t="shared" si="14"/>
        <v>0</v>
      </c>
      <c r="X146" s="93">
        <f t="shared" si="12"/>
        <v>0</v>
      </c>
      <c r="Z146" s="8">
        <v>0</v>
      </c>
      <c r="AA146" s="8">
        <v>0</v>
      </c>
      <c r="AC146" s="151">
        <v>0</v>
      </c>
      <c r="AD146" s="8">
        <f t="shared" si="15"/>
        <v>0</v>
      </c>
      <c r="AF146" s="152">
        <v>0</v>
      </c>
      <c r="AG146" s="152">
        <v>0</v>
      </c>
    </row>
    <row r="147" spans="1:33" x14ac:dyDescent="0.25">
      <c r="A147" s="99">
        <f t="shared" si="16"/>
        <v>146</v>
      </c>
      <c r="B147" s="8">
        <v>1</v>
      </c>
      <c r="C147" s="8">
        <v>3.6038000000000001</v>
      </c>
      <c r="D147" s="8">
        <v>1.79</v>
      </c>
      <c r="E147" s="8">
        <v>0</v>
      </c>
      <c r="F147" s="8">
        <v>0</v>
      </c>
      <c r="G147" s="8">
        <v>1</v>
      </c>
      <c r="H147" s="8">
        <v>1</v>
      </c>
      <c r="I147" s="8">
        <v>0</v>
      </c>
      <c r="J147" s="6">
        <v>22</v>
      </c>
      <c r="K147" s="8">
        <v>1</v>
      </c>
      <c r="L147" s="7">
        <v>1.05</v>
      </c>
      <c r="M147" s="100">
        <v>0.95</v>
      </c>
      <c r="N147" s="5" t="s">
        <v>146</v>
      </c>
      <c r="O147" s="57"/>
      <c r="P147" s="58"/>
      <c r="Q147" s="12">
        <v>103.67593333333333</v>
      </c>
      <c r="R147" s="12">
        <v>1.28285</v>
      </c>
      <c r="S147" s="134" t="s">
        <v>928</v>
      </c>
      <c r="T147" s="134">
        <v>2</v>
      </c>
      <c r="U147" s="151">
        <v>5</v>
      </c>
      <c r="V147" s="93">
        <f t="shared" si="13"/>
        <v>4.4780350238330557</v>
      </c>
      <c r="W147" s="93">
        <f t="shared" si="14"/>
        <v>2.2242307266388717</v>
      </c>
      <c r="X147" s="93">
        <f t="shared" si="12"/>
        <v>0.89560700476661115</v>
      </c>
      <c r="Z147" s="8">
        <v>9.0599998829999997</v>
      </c>
      <c r="AA147" s="8">
        <v>4.5000001789999997</v>
      </c>
      <c r="AC147" s="151">
        <v>5</v>
      </c>
      <c r="AD147" s="8">
        <f t="shared" si="15"/>
        <v>4.9000000000000004</v>
      </c>
      <c r="AF147" s="152">
        <v>3.6038000000000001</v>
      </c>
      <c r="AG147" s="152">
        <v>1.79</v>
      </c>
    </row>
    <row r="148" spans="1:33" x14ac:dyDescent="0.25">
      <c r="A148" s="99">
        <f t="shared" si="16"/>
        <v>147</v>
      </c>
      <c r="B148" s="8">
        <v>1</v>
      </c>
      <c r="C148" s="8">
        <v>16.009799999999998</v>
      </c>
      <c r="D148" s="8">
        <v>7.7156000000000002</v>
      </c>
      <c r="E148" s="8">
        <v>0</v>
      </c>
      <c r="F148" s="8">
        <v>0</v>
      </c>
      <c r="G148" s="8">
        <v>1</v>
      </c>
      <c r="H148" s="8">
        <v>1</v>
      </c>
      <c r="I148" s="8">
        <v>0</v>
      </c>
      <c r="J148" s="6">
        <v>22</v>
      </c>
      <c r="K148" s="8">
        <v>1</v>
      </c>
      <c r="L148" s="7">
        <v>1.05</v>
      </c>
      <c r="M148" s="100">
        <v>0.95</v>
      </c>
      <c r="N148" s="5" t="s">
        <v>213</v>
      </c>
      <c r="O148" s="57"/>
      <c r="P148" s="58"/>
      <c r="Q148" s="12">
        <v>103.6795</v>
      </c>
      <c r="R148" s="12">
        <v>1.2814666666666668</v>
      </c>
      <c r="S148" s="136" t="s">
        <v>936</v>
      </c>
      <c r="T148" s="136">
        <v>1</v>
      </c>
      <c r="U148" s="151">
        <v>19</v>
      </c>
      <c r="V148" s="93">
        <f t="shared" si="13"/>
        <v>17.116031167350059</v>
      </c>
      <c r="W148" s="93">
        <f t="shared" si="14"/>
        <v>8.2487257851319917</v>
      </c>
      <c r="X148" s="93">
        <f t="shared" si="12"/>
        <v>0.90084374565000302</v>
      </c>
      <c r="Z148" s="8">
        <v>2.4900000539999998</v>
      </c>
      <c r="AA148" s="8">
        <v>1.2000000099999999</v>
      </c>
      <c r="AC148" s="151">
        <v>19</v>
      </c>
      <c r="AD148" s="8">
        <f t="shared" si="15"/>
        <v>18.62</v>
      </c>
      <c r="AF148" s="152">
        <v>16.009799999999998</v>
      </c>
      <c r="AG148" s="152">
        <v>7.7156000000000002</v>
      </c>
    </row>
    <row r="149" spans="1:33" x14ac:dyDescent="0.25">
      <c r="A149" s="99">
        <f t="shared" si="16"/>
        <v>148</v>
      </c>
      <c r="B149" s="8">
        <v>1</v>
      </c>
      <c r="C149" s="8">
        <v>5.3445999999999998</v>
      </c>
      <c r="D149" s="8">
        <v>2.2768000000000002</v>
      </c>
      <c r="E149" s="8">
        <v>0</v>
      </c>
      <c r="F149" s="8">
        <v>0</v>
      </c>
      <c r="G149" s="8">
        <v>1</v>
      </c>
      <c r="H149" s="8">
        <v>1</v>
      </c>
      <c r="I149" s="8">
        <v>0</v>
      </c>
      <c r="J149" s="6">
        <v>22</v>
      </c>
      <c r="K149" s="8">
        <v>1</v>
      </c>
      <c r="L149" s="7">
        <v>1.05</v>
      </c>
      <c r="M149" s="100">
        <v>0.95</v>
      </c>
      <c r="N149" s="5" t="s">
        <v>215</v>
      </c>
      <c r="O149" s="57"/>
      <c r="P149" s="58"/>
      <c r="Q149" s="12">
        <v>103.68015</v>
      </c>
      <c r="R149" s="12">
        <v>1.2812333333333332</v>
      </c>
      <c r="S149" s="149"/>
      <c r="T149" s="149">
        <v>1</v>
      </c>
      <c r="U149" s="151">
        <v>6</v>
      </c>
      <c r="V149" s="93">
        <f t="shared" si="13"/>
        <v>5.5200000000000005</v>
      </c>
      <c r="W149" s="93">
        <f t="shared" si="14"/>
        <v>2.3515101530718501</v>
      </c>
      <c r="X149" s="93">
        <v>0.92</v>
      </c>
      <c r="Z149" s="8">
        <v>0</v>
      </c>
      <c r="AA149" s="8">
        <v>0</v>
      </c>
      <c r="AC149" s="151">
        <v>6</v>
      </c>
      <c r="AD149" s="8">
        <f t="shared" si="15"/>
        <v>5.88</v>
      </c>
      <c r="AF149" s="152">
        <v>5.3445999999999998</v>
      </c>
      <c r="AG149" s="152">
        <v>2.2768000000000002</v>
      </c>
    </row>
    <row r="150" spans="1:33" x14ac:dyDescent="0.25">
      <c r="A150" s="99">
        <f t="shared" si="16"/>
        <v>149</v>
      </c>
      <c r="B150" s="8">
        <v>1</v>
      </c>
      <c r="C150" s="8">
        <v>115.3693</v>
      </c>
      <c r="D150" s="8">
        <v>57.082099999999997</v>
      </c>
      <c r="E150" s="8">
        <v>0</v>
      </c>
      <c r="F150" s="8">
        <v>0</v>
      </c>
      <c r="G150" s="8">
        <v>1</v>
      </c>
      <c r="H150" s="8">
        <v>1</v>
      </c>
      <c r="I150" s="8">
        <v>0</v>
      </c>
      <c r="J150" s="104">
        <v>66</v>
      </c>
      <c r="K150" s="8">
        <v>1</v>
      </c>
      <c r="L150" s="7">
        <v>1.05</v>
      </c>
      <c r="M150" s="100">
        <v>0.95</v>
      </c>
      <c r="N150" s="5" t="s">
        <v>241</v>
      </c>
      <c r="O150" s="57"/>
      <c r="P150" s="58"/>
      <c r="Q150" s="12">
        <v>103.68371666666667</v>
      </c>
      <c r="R150" s="12">
        <v>1.2873333333333332</v>
      </c>
      <c r="S150" s="137" t="s">
        <v>932</v>
      </c>
      <c r="T150" s="137">
        <v>3</v>
      </c>
      <c r="U150" s="151">
        <v>132</v>
      </c>
      <c r="V150" s="93">
        <f t="shared" si="13"/>
        <v>118.31051889433664</v>
      </c>
      <c r="W150" s="93">
        <f t="shared" si="14"/>
        <v>58.537348069013284</v>
      </c>
      <c r="X150" s="93">
        <f t="shared" si="12"/>
        <v>0.89629180980558054</v>
      </c>
      <c r="Z150" s="8">
        <v>90.950000290000006</v>
      </c>
      <c r="AA150" s="8">
        <v>44.999998810000001</v>
      </c>
      <c r="AC150" s="151">
        <v>132</v>
      </c>
      <c r="AD150" s="8">
        <f t="shared" si="15"/>
        <v>129.35999999999999</v>
      </c>
      <c r="AF150" s="152">
        <v>115.3693</v>
      </c>
      <c r="AG150" s="152">
        <v>57.082099999999997</v>
      </c>
    </row>
    <row r="151" spans="1:33" x14ac:dyDescent="0.25">
      <c r="A151" s="99">
        <f t="shared" si="16"/>
        <v>150</v>
      </c>
      <c r="B151" s="8">
        <v>1</v>
      </c>
      <c r="C151" s="8">
        <v>12.1683</v>
      </c>
      <c r="D151" s="8">
        <v>4.8091999999999997</v>
      </c>
      <c r="E151" s="8">
        <v>0</v>
      </c>
      <c r="F151" s="8">
        <v>0</v>
      </c>
      <c r="G151" s="8">
        <v>1</v>
      </c>
      <c r="H151" s="8">
        <v>1</v>
      </c>
      <c r="I151" s="8">
        <v>0</v>
      </c>
      <c r="J151" s="6">
        <v>22</v>
      </c>
      <c r="K151" s="8">
        <v>1</v>
      </c>
      <c r="L151" s="7">
        <v>1.05</v>
      </c>
      <c r="M151" s="100">
        <v>0.95</v>
      </c>
      <c r="N151" s="5" t="s">
        <v>192</v>
      </c>
      <c r="O151" s="57"/>
      <c r="P151" s="58"/>
      <c r="Q151" s="12">
        <v>103.68468333333334</v>
      </c>
      <c r="R151" s="12">
        <v>1.2517166666666666</v>
      </c>
      <c r="S151" s="149"/>
      <c r="T151" s="149">
        <v>1</v>
      </c>
      <c r="U151" s="151">
        <v>15</v>
      </c>
      <c r="V151" s="93">
        <f t="shared" si="13"/>
        <v>13.950000000000001</v>
      </c>
      <c r="W151" s="93">
        <f t="shared" si="14"/>
        <v>5.5133927848467295</v>
      </c>
      <c r="X151" s="93">
        <v>0.93</v>
      </c>
      <c r="Z151" s="8">
        <v>0</v>
      </c>
      <c r="AA151" s="8">
        <v>0</v>
      </c>
      <c r="AC151" s="151">
        <v>15</v>
      </c>
      <c r="AD151" s="8">
        <f t="shared" si="15"/>
        <v>14.7</v>
      </c>
      <c r="AF151" s="152">
        <v>12.1683</v>
      </c>
      <c r="AG151" s="152">
        <v>4.8091999999999997</v>
      </c>
    </row>
    <row r="152" spans="1:33" x14ac:dyDescent="0.25">
      <c r="A152" s="99">
        <f t="shared" si="16"/>
        <v>151</v>
      </c>
      <c r="B152" s="8">
        <v>1</v>
      </c>
      <c r="C152" s="8">
        <v>0</v>
      </c>
      <c r="D152" s="8">
        <v>0</v>
      </c>
      <c r="E152" s="8">
        <v>0</v>
      </c>
      <c r="F152" s="8">
        <v>0</v>
      </c>
      <c r="G152" s="8">
        <v>1</v>
      </c>
      <c r="H152" s="8">
        <v>1</v>
      </c>
      <c r="I152" s="8">
        <v>0</v>
      </c>
      <c r="J152" s="6">
        <v>22</v>
      </c>
      <c r="K152" s="8">
        <v>1</v>
      </c>
      <c r="L152" s="7">
        <v>1.05</v>
      </c>
      <c r="M152" s="100">
        <v>0.95</v>
      </c>
      <c r="N152" s="5" t="s">
        <v>193</v>
      </c>
      <c r="O152" s="57"/>
      <c r="P152" s="58"/>
      <c r="Q152" s="12">
        <v>103.68556666666667</v>
      </c>
      <c r="R152" s="12">
        <v>1.2519333333333333</v>
      </c>
      <c r="S152" s="139"/>
      <c r="T152" s="139">
        <v>0</v>
      </c>
      <c r="U152" s="151">
        <v>0</v>
      </c>
      <c r="V152" s="93">
        <f t="shared" si="13"/>
        <v>0</v>
      </c>
      <c r="W152" s="93">
        <f t="shared" si="14"/>
        <v>0</v>
      </c>
      <c r="X152" s="93">
        <f t="shared" si="12"/>
        <v>0</v>
      </c>
      <c r="Z152" s="8">
        <v>0</v>
      </c>
      <c r="AA152" s="8">
        <v>0</v>
      </c>
      <c r="AC152" s="151">
        <v>0</v>
      </c>
      <c r="AD152" s="8">
        <f t="shared" si="15"/>
        <v>0</v>
      </c>
      <c r="AF152" s="152">
        <v>0</v>
      </c>
      <c r="AG152" s="152">
        <v>0</v>
      </c>
    </row>
    <row r="153" spans="1:33" x14ac:dyDescent="0.25">
      <c r="A153" s="99">
        <f t="shared" si="16"/>
        <v>152</v>
      </c>
      <c r="B153" s="8">
        <v>1</v>
      </c>
      <c r="C153" s="8">
        <v>35.034300000000002</v>
      </c>
      <c r="D153" s="8">
        <v>17.593399999999999</v>
      </c>
      <c r="E153" s="8">
        <v>0</v>
      </c>
      <c r="F153" s="8">
        <v>0</v>
      </c>
      <c r="G153" s="8">
        <v>1</v>
      </c>
      <c r="H153" s="8">
        <v>1</v>
      </c>
      <c r="I153" s="8">
        <v>0</v>
      </c>
      <c r="J153" s="104">
        <v>66</v>
      </c>
      <c r="K153" s="8">
        <v>1</v>
      </c>
      <c r="L153" s="7">
        <v>1.05</v>
      </c>
      <c r="M153" s="100">
        <v>0.95</v>
      </c>
      <c r="N153" s="5" t="s">
        <v>204</v>
      </c>
      <c r="O153" s="57"/>
      <c r="P153" s="58"/>
      <c r="Q153" s="12">
        <v>103.6848</v>
      </c>
      <c r="R153" s="12">
        <v>1.2493166666666666</v>
      </c>
      <c r="S153" s="133" t="s">
        <v>953</v>
      </c>
      <c r="T153" s="133">
        <v>4</v>
      </c>
      <c r="U153" s="151">
        <v>60</v>
      </c>
      <c r="V153" s="93">
        <f t="shared" si="13"/>
        <v>53.618870984642911</v>
      </c>
      <c r="W153" s="93">
        <f t="shared" si="14"/>
        <v>26.926133668468228</v>
      </c>
      <c r="X153" s="93">
        <f t="shared" ref="X153:X159" si="17">IF(C153&gt;0, C153/SQRT(C153*C153+D153*D153), 0)</f>
        <v>0.89364784974404854</v>
      </c>
      <c r="Z153" s="8">
        <v>29.870000480000002</v>
      </c>
      <c r="AA153" s="8">
        <v>15.0000006</v>
      </c>
      <c r="AC153" s="151">
        <v>60</v>
      </c>
      <c r="AD153" s="8">
        <f t="shared" si="15"/>
        <v>58.8</v>
      </c>
      <c r="AF153" s="152">
        <v>35.034300000000002</v>
      </c>
      <c r="AG153" s="152">
        <v>17.593399999999999</v>
      </c>
    </row>
    <row r="154" spans="1:33" x14ac:dyDescent="0.25">
      <c r="A154" s="99">
        <f t="shared" si="16"/>
        <v>153</v>
      </c>
      <c r="B154" s="8">
        <v>1</v>
      </c>
      <c r="C154" s="8">
        <v>24.5946</v>
      </c>
      <c r="D154" s="8">
        <v>12.2973</v>
      </c>
      <c r="E154" s="8">
        <v>0</v>
      </c>
      <c r="F154" s="8">
        <v>0</v>
      </c>
      <c r="G154" s="8">
        <v>1</v>
      </c>
      <c r="H154" s="8">
        <v>1</v>
      </c>
      <c r="I154" s="8">
        <v>0</v>
      </c>
      <c r="J154" s="104">
        <v>66</v>
      </c>
      <c r="K154" s="8">
        <v>1</v>
      </c>
      <c r="L154" s="7">
        <v>1.05</v>
      </c>
      <c r="M154" s="100">
        <v>0.95</v>
      </c>
      <c r="N154" s="5" t="s">
        <v>220</v>
      </c>
      <c r="O154" s="12">
        <v>103.68575</v>
      </c>
      <c r="P154" s="12">
        <v>1.2441499999999999</v>
      </c>
      <c r="Q154" s="12">
        <f>(Q153+O155)/2</f>
        <v>103.68575</v>
      </c>
      <c r="R154" s="12">
        <f>(R153+P155)/2</f>
        <v>1.2464</v>
      </c>
      <c r="S154" s="133" t="s">
        <v>953</v>
      </c>
      <c r="T154" s="133">
        <v>4</v>
      </c>
      <c r="U154" s="151">
        <v>40</v>
      </c>
      <c r="V154" s="93">
        <f t="shared" si="13"/>
        <v>35.777087639996637</v>
      </c>
      <c r="W154" s="93">
        <f t="shared" si="14"/>
        <v>17.888543819998311</v>
      </c>
      <c r="X154" s="93">
        <f t="shared" si="17"/>
        <v>0.89442719099991586</v>
      </c>
      <c r="Z154" s="8">
        <v>20</v>
      </c>
      <c r="AA154" s="8">
        <v>10</v>
      </c>
      <c r="AC154" s="151">
        <v>40</v>
      </c>
      <c r="AD154" s="8">
        <f t="shared" si="15"/>
        <v>39.200000000000003</v>
      </c>
      <c r="AF154" s="152">
        <v>24.5946</v>
      </c>
      <c r="AG154" s="152">
        <v>12.2973</v>
      </c>
    </row>
    <row r="155" spans="1:33" x14ac:dyDescent="0.25">
      <c r="A155" s="99">
        <f t="shared" si="16"/>
        <v>154</v>
      </c>
      <c r="B155" s="8">
        <v>1</v>
      </c>
      <c r="C155" s="8">
        <v>17.644300000000001</v>
      </c>
      <c r="D155" s="8">
        <v>8.8221000000000007</v>
      </c>
      <c r="E155" s="8">
        <v>0</v>
      </c>
      <c r="F155" s="8">
        <v>0</v>
      </c>
      <c r="G155" s="8">
        <v>1</v>
      </c>
      <c r="H155" s="8">
        <v>1</v>
      </c>
      <c r="I155" s="8">
        <v>0</v>
      </c>
      <c r="J155" s="6">
        <v>22</v>
      </c>
      <c r="K155" s="8">
        <v>1</v>
      </c>
      <c r="L155" s="7">
        <v>1.05</v>
      </c>
      <c r="M155" s="100">
        <v>0.95</v>
      </c>
      <c r="N155" s="5" t="s">
        <v>222</v>
      </c>
      <c r="O155" s="12">
        <v>103.6867</v>
      </c>
      <c r="P155" s="12">
        <v>1.2434833333333333</v>
      </c>
      <c r="Q155" s="12">
        <f>(Q156+Q157)/2</f>
        <v>103.6831</v>
      </c>
      <c r="R155" s="12">
        <f>(R156+R157)/2</f>
        <v>1.2388583333333334</v>
      </c>
      <c r="S155" s="133" t="s">
        <v>953</v>
      </c>
      <c r="T155" s="133">
        <v>4</v>
      </c>
      <c r="U155" s="151">
        <v>30</v>
      </c>
      <c r="V155" s="93">
        <f t="shared" si="13"/>
        <v>26.832846145242417</v>
      </c>
      <c r="W155" s="93">
        <f t="shared" si="14"/>
        <v>13.416347034336477</v>
      </c>
      <c r="X155" s="93">
        <f t="shared" si="17"/>
        <v>0.89442820484141394</v>
      </c>
      <c r="Z155" s="8">
        <v>20</v>
      </c>
      <c r="AA155" s="8">
        <v>10</v>
      </c>
      <c r="AC155" s="151">
        <v>30</v>
      </c>
      <c r="AD155" s="8">
        <f t="shared" si="15"/>
        <v>29.4</v>
      </c>
      <c r="AF155" s="152">
        <v>17.644300000000001</v>
      </c>
      <c r="AG155" s="152">
        <v>8.8221000000000007</v>
      </c>
    </row>
    <row r="156" spans="1:33" x14ac:dyDescent="0.25">
      <c r="A156" s="99">
        <f t="shared" si="16"/>
        <v>155</v>
      </c>
      <c r="B156" s="8">
        <v>1</v>
      </c>
      <c r="C156" s="8">
        <v>8.9106000000000005</v>
      </c>
      <c r="D156" s="8">
        <v>4.4553000000000003</v>
      </c>
      <c r="E156" s="8">
        <v>0</v>
      </c>
      <c r="F156" s="8">
        <v>0</v>
      </c>
      <c r="G156" s="8">
        <v>1</v>
      </c>
      <c r="H156" s="8">
        <v>1</v>
      </c>
      <c r="I156" s="8">
        <v>0</v>
      </c>
      <c r="J156" s="6">
        <v>22</v>
      </c>
      <c r="K156" s="8">
        <v>1</v>
      </c>
      <c r="L156" s="7">
        <v>1.05</v>
      </c>
      <c r="M156" s="100">
        <v>0.95</v>
      </c>
      <c r="N156" s="5" t="s">
        <v>224</v>
      </c>
      <c r="O156"/>
      <c r="P156"/>
      <c r="Q156" s="12">
        <v>103.68606666666666</v>
      </c>
      <c r="R156" s="12">
        <v>1.2419500000000001</v>
      </c>
      <c r="S156" s="133" t="s">
        <v>953</v>
      </c>
      <c r="T156" s="133">
        <v>4</v>
      </c>
      <c r="U156" s="151">
        <v>15</v>
      </c>
      <c r="V156" s="93">
        <f t="shared" si="13"/>
        <v>13.416407864998735</v>
      </c>
      <c r="W156" s="93">
        <f t="shared" si="14"/>
        <v>6.7082039324993712</v>
      </c>
      <c r="X156" s="93">
        <f t="shared" si="17"/>
        <v>0.89442719099991574</v>
      </c>
      <c r="Z156" s="8">
        <v>20</v>
      </c>
      <c r="AA156" s="8">
        <v>10</v>
      </c>
      <c r="AC156" s="151">
        <v>15</v>
      </c>
      <c r="AD156" s="8">
        <f t="shared" si="15"/>
        <v>14.7</v>
      </c>
      <c r="AF156" s="152">
        <v>8.9106000000000005</v>
      </c>
      <c r="AG156" s="152">
        <v>4.4553000000000003</v>
      </c>
    </row>
    <row r="157" spans="1:33" x14ac:dyDescent="0.25">
      <c r="A157" s="99">
        <f t="shared" si="16"/>
        <v>156</v>
      </c>
      <c r="B157" s="8">
        <v>1</v>
      </c>
      <c r="C157" s="8">
        <v>0</v>
      </c>
      <c r="D157" s="8">
        <v>0</v>
      </c>
      <c r="E157" s="8">
        <v>0</v>
      </c>
      <c r="F157" s="8">
        <v>0</v>
      </c>
      <c r="G157" s="8">
        <v>1</v>
      </c>
      <c r="H157" s="8">
        <v>1</v>
      </c>
      <c r="I157" s="8">
        <v>0</v>
      </c>
      <c r="J157" s="104">
        <v>66</v>
      </c>
      <c r="K157" s="8">
        <v>1</v>
      </c>
      <c r="L157" s="7">
        <v>1.05</v>
      </c>
      <c r="M157" s="100">
        <v>0.95</v>
      </c>
      <c r="N157" s="5" t="s">
        <v>229</v>
      </c>
      <c r="O157" s="12">
        <v>103.67956666666667</v>
      </c>
      <c r="P157" s="12">
        <v>1.2367333333333335</v>
      </c>
      <c r="Q157" s="12">
        <v>103.68013333333333</v>
      </c>
      <c r="R157" s="12">
        <v>1.2357666666666667</v>
      </c>
      <c r="S157" s="139"/>
      <c r="T157" s="139">
        <v>0</v>
      </c>
      <c r="U157" s="151">
        <v>0</v>
      </c>
      <c r="V157" s="93">
        <f t="shared" si="13"/>
        <v>0</v>
      </c>
      <c r="W157" s="93">
        <f t="shared" si="14"/>
        <v>0</v>
      </c>
      <c r="X157" s="93">
        <f t="shared" si="17"/>
        <v>0</v>
      </c>
      <c r="Z157" s="8">
        <v>0</v>
      </c>
      <c r="AA157" s="8">
        <v>0</v>
      </c>
      <c r="AC157" s="151">
        <v>0</v>
      </c>
      <c r="AD157" s="8">
        <f t="shared" si="15"/>
        <v>0</v>
      </c>
      <c r="AF157" s="152">
        <v>0</v>
      </c>
      <c r="AG157" s="152">
        <v>0</v>
      </c>
    </row>
    <row r="158" spans="1:33" x14ac:dyDescent="0.25">
      <c r="A158" s="99">
        <f t="shared" si="16"/>
        <v>157</v>
      </c>
      <c r="B158" s="8">
        <v>1</v>
      </c>
      <c r="C158" s="8">
        <v>0</v>
      </c>
      <c r="D158" s="8">
        <v>0</v>
      </c>
      <c r="E158" s="8">
        <v>0</v>
      </c>
      <c r="F158" s="8">
        <v>0</v>
      </c>
      <c r="G158" s="8">
        <v>1</v>
      </c>
      <c r="H158" s="8">
        <v>1</v>
      </c>
      <c r="I158" s="8">
        <v>0</v>
      </c>
      <c r="J158" s="104">
        <v>66</v>
      </c>
      <c r="K158" s="8">
        <v>1</v>
      </c>
      <c r="L158" s="7">
        <v>1.05</v>
      </c>
      <c r="M158" s="100">
        <v>0.95</v>
      </c>
      <c r="N158" s="5" t="s">
        <v>230</v>
      </c>
      <c r="O158" s="57"/>
      <c r="P158" s="58"/>
      <c r="Q158" s="12">
        <v>103.68013333333333</v>
      </c>
      <c r="R158" s="12">
        <v>1.2357666666666667</v>
      </c>
      <c r="S158" s="139"/>
      <c r="T158" s="139">
        <v>0</v>
      </c>
      <c r="U158" s="151">
        <v>0</v>
      </c>
      <c r="V158" s="93">
        <f t="shared" si="13"/>
        <v>0</v>
      </c>
      <c r="W158" s="93">
        <f t="shared" si="14"/>
        <v>0</v>
      </c>
      <c r="X158" s="93">
        <f t="shared" si="17"/>
        <v>0</v>
      </c>
      <c r="Z158" s="8">
        <v>0</v>
      </c>
      <c r="AA158" s="8">
        <v>0</v>
      </c>
      <c r="AC158" s="151">
        <v>0</v>
      </c>
      <c r="AD158" s="8">
        <f t="shared" si="15"/>
        <v>0</v>
      </c>
      <c r="AF158" s="152">
        <v>0</v>
      </c>
      <c r="AG158" s="152">
        <v>0</v>
      </c>
    </row>
    <row r="159" spans="1:33" x14ac:dyDescent="0.25">
      <c r="A159" s="99">
        <f t="shared" si="16"/>
        <v>158</v>
      </c>
      <c r="B159" s="8">
        <v>1</v>
      </c>
      <c r="C159" s="8">
        <v>25.559100000000001</v>
      </c>
      <c r="D159" s="8">
        <v>11.9915</v>
      </c>
      <c r="E159" s="8">
        <v>0</v>
      </c>
      <c r="F159" s="8">
        <v>0</v>
      </c>
      <c r="G159" s="8">
        <v>1</v>
      </c>
      <c r="H159" s="8">
        <v>1</v>
      </c>
      <c r="I159" s="8">
        <v>0</v>
      </c>
      <c r="J159" s="6">
        <v>22</v>
      </c>
      <c r="K159" s="8">
        <v>1</v>
      </c>
      <c r="L159" s="7">
        <v>1.05</v>
      </c>
      <c r="M159" s="100">
        <v>0.95</v>
      </c>
      <c r="N159" s="5" t="s">
        <v>236</v>
      </c>
      <c r="O159" s="57"/>
      <c r="P159" s="58"/>
      <c r="Q159" s="12">
        <v>103.67698333333334</v>
      </c>
      <c r="R159" s="12">
        <v>1.2259333333333333</v>
      </c>
      <c r="S159" s="133" t="s">
        <v>953</v>
      </c>
      <c r="T159" s="133">
        <v>4</v>
      </c>
      <c r="U159" s="151">
        <v>30</v>
      </c>
      <c r="V159" s="93">
        <f t="shared" si="13"/>
        <v>27.15940841694718</v>
      </c>
      <c r="W159" s="93">
        <f t="shared" si="14"/>
        <v>12.742312758736489</v>
      </c>
      <c r="X159" s="93">
        <f t="shared" si="17"/>
        <v>0.90531361389823928</v>
      </c>
      <c r="Z159" s="8">
        <v>14.92000073</v>
      </c>
      <c r="AA159" s="8">
        <v>7.0000000299999998</v>
      </c>
      <c r="AC159" s="151">
        <v>30</v>
      </c>
      <c r="AD159" s="8">
        <f t="shared" si="15"/>
        <v>29.4</v>
      </c>
      <c r="AF159" s="152">
        <v>25.559100000000001</v>
      </c>
      <c r="AG159" s="152">
        <v>11.9915</v>
      </c>
    </row>
    <row r="160" spans="1:33" x14ac:dyDescent="0.25">
      <c r="A160" s="99">
        <f t="shared" si="16"/>
        <v>159</v>
      </c>
      <c r="B160" s="8">
        <v>1</v>
      </c>
      <c r="C160" s="8">
        <v>26.4086</v>
      </c>
      <c r="D160" s="8">
        <v>12.7903</v>
      </c>
      <c r="E160" s="8">
        <v>0</v>
      </c>
      <c r="F160" s="8">
        <v>0</v>
      </c>
      <c r="G160" s="8">
        <v>1</v>
      </c>
      <c r="H160" s="8">
        <v>1</v>
      </c>
      <c r="I160" s="8">
        <v>0</v>
      </c>
      <c r="J160" s="104">
        <v>66</v>
      </c>
      <c r="K160" s="8">
        <v>1</v>
      </c>
      <c r="L160" s="7">
        <v>1.05</v>
      </c>
      <c r="M160" s="100">
        <v>0.95</v>
      </c>
      <c r="N160" s="5" t="s">
        <v>232</v>
      </c>
      <c r="O160" s="57"/>
      <c r="P160" s="58"/>
      <c r="Q160" s="12">
        <v>103.67728333333334</v>
      </c>
      <c r="R160" s="12">
        <v>1.23465</v>
      </c>
      <c r="S160" s="149"/>
      <c r="T160" s="149">
        <v>1</v>
      </c>
      <c r="U160" s="151">
        <v>30</v>
      </c>
      <c r="V160" s="93">
        <f t="shared" si="13"/>
        <v>27</v>
      </c>
      <c r="W160" s="93">
        <f t="shared" si="14"/>
        <v>13.076696830622021</v>
      </c>
      <c r="X160" s="93">
        <v>0.9</v>
      </c>
      <c r="Z160" s="8">
        <v>0</v>
      </c>
      <c r="AA160" s="8">
        <v>0</v>
      </c>
      <c r="AC160" s="151">
        <v>30</v>
      </c>
      <c r="AD160" s="8">
        <f t="shared" si="15"/>
        <v>29.4</v>
      </c>
      <c r="AF160" s="152">
        <v>26.4086</v>
      </c>
      <c r="AG160" s="152">
        <v>12.7903</v>
      </c>
    </row>
    <row r="161" spans="1:33" x14ac:dyDescent="0.25">
      <c r="A161" s="99">
        <f t="shared" si="16"/>
        <v>160</v>
      </c>
      <c r="B161" s="8">
        <v>1</v>
      </c>
      <c r="C161" s="8">
        <v>24.519200000000001</v>
      </c>
      <c r="D161" s="8">
        <v>10.4451</v>
      </c>
      <c r="E161" s="8">
        <v>0</v>
      </c>
      <c r="F161" s="8">
        <v>0</v>
      </c>
      <c r="G161" s="8">
        <v>1</v>
      </c>
      <c r="H161" s="8">
        <v>1</v>
      </c>
      <c r="I161" s="8">
        <v>0</v>
      </c>
      <c r="J161" s="104">
        <v>66</v>
      </c>
      <c r="K161" s="8">
        <v>1</v>
      </c>
      <c r="L161" s="7">
        <v>1.05</v>
      </c>
      <c r="M161" s="100">
        <v>0.95</v>
      </c>
      <c r="N161" s="5" t="s">
        <v>233</v>
      </c>
      <c r="O161" s="57"/>
      <c r="P161" s="58"/>
      <c r="Q161" s="12">
        <v>103.67728333333334</v>
      </c>
      <c r="R161" s="12">
        <v>1.23465</v>
      </c>
      <c r="S161" s="149"/>
      <c r="T161" s="149">
        <v>1</v>
      </c>
      <c r="U161" s="151">
        <v>30</v>
      </c>
      <c r="V161" s="93">
        <f t="shared" si="13"/>
        <v>27.6</v>
      </c>
      <c r="W161" s="93">
        <f t="shared" si="14"/>
        <v>11.75755076535925</v>
      </c>
      <c r="X161" s="93">
        <v>0.92</v>
      </c>
      <c r="Z161" s="8">
        <v>0</v>
      </c>
      <c r="AA161" s="8">
        <v>0</v>
      </c>
      <c r="AC161" s="151">
        <v>30</v>
      </c>
      <c r="AD161" s="8">
        <f t="shared" si="15"/>
        <v>29.4</v>
      </c>
      <c r="AF161" s="152">
        <v>24.519200000000001</v>
      </c>
      <c r="AG161" s="152">
        <v>10.4451</v>
      </c>
    </row>
    <row r="162" spans="1:33" x14ac:dyDescent="0.25">
      <c r="A162" s="99">
        <f t="shared" si="16"/>
        <v>161</v>
      </c>
      <c r="B162" s="8">
        <v>1</v>
      </c>
      <c r="C162" s="8">
        <v>16.2011</v>
      </c>
      <c r="D162" s="8">
        <v>8.1006</v>
      </c>
      <c r="E162" s="8">
        <v>0</v>
      </c>
      <c r="F162" s="8">
        <v>0</v>
      </c>
      <c r="G162" s="8">
        <v>1</v>
      </c>
      <c r="H162" s="8">
        <v>1</v>
      </c>
      <c r="I162" s="8">
        <v>0</v>
      </c>
      <c r="J162" s="104">
        <v>66</v>
      </c>
      <c r="K162" s="8">
        <v>1</v>
      </c>
      <c r="L162" s="7">
        <v>1.05</v>
      </c>
      <c r="M162" s="100">
        <v>0.95</v>
      </c>
      <c r="N162" s="5" t="s">
        <v>237</v>
      </c>
      <c r="O162" s="57"/>
      <c r="P162" s="58"/>
      <c r="Q162" s="12">
        <v>103.67553333333333</v>
      </c>
      <c r="R162" s="12">
        <v>1.2336333333333334</v>
      </c>
      <c r="S162" s="133" t="s">
        <v>953</v>
      </c>
      <c r="T162" s="133">
        <v>4</v>
      </c>
      <c r="U162" s="151">
        <v>30</v>
      </c>
      <c r="V162" s="93">
        <f t="shared" si="13"/>
        <v>26.83278260527279</v>
      </c>
      <c r="W162" s="93">
        <f t="shared" si="14"/>
        <v>13.416474114243652</v>
      </c>
      <c r="X162" s="93">
        <f>IF(C162&gt;0, C162/SQRT(C162*C162+D162*D162), 0)</f>
        <v>0.8944260868424263</v>
      </c>
      <c r="Z162" s="8">
        <v>20</v>
      </c>
      <c r="AA162" s="8">
        <v>10</v>
      </c>
      <c r="AC162" s="151">
        <v>30</v>
      </c>
      <c r="AD162" s="8">
        <f t="shared" si="15"/>
        <v>29.4</v>
      </c>
      <c r="AF162" s="152">
        <v>16.2011</v>
      </c>
      <c r="AG162" s="152">
        <v>8.1006</v>
      </c>
    </row>
    <row r="163" spans="1:33" x14ac:dyDescent="0.25">
      <c r="A163" s="99">
        <f t="shared" si="16"/>
        <v>162</v>
      </c>
      <c r="B163" s="8">
        <v>1</v>
      </c>
      <c r="C163" s="8">
        <v>25.0533</v>
      </c>
      <c r="D163" s="8">
        <v>12.5267</v>
      </c>
      <c r="E163" s="8">
        <v>0</v>
      </c>
      <c r="F163" s="8">
        <v>0</v>
      </c>
      <c r="G163" s="8">
        <v>1</v>
      </c>
      <c r="H163" s="8">
        <v>1</v>
      </c>
      <c r="I163" s="8">
        <v>0</v>
      </c>
      <c r="J163" s="104">
        <v>66</v>
      </c>
      <c r="K163" s="8">
        <v>1</v>
      </c>
      <c r="L163" s="7">
        <v>1.05</v>
      </c>
      <c r="M163" s="100">
        <v>0.95</v>
      </c>
      <c r="N163" s="5" t="s">
        <v>239</v>
      </c>
      <c r="O163" s="57"/>
      <c r="P163" s="58"/>
      <c r="Q163" s="12">
        <v>103.67553333333333</v>
      </c>
      <c r="R163" s="12">
        <v>1.2336333333333334</v>
      </c>
      <c r="S163" s="133" t="s">
        <v>953</v>
      </c>
      <c r="T163" s="133">
        <v>4</v>
      </c>
      <c r="U163" s="151">
        <v>30</v>
      </c>
      <c r="V163" s="93">
        <f t="shared" si="13"/>
        <v>26.83279430939648</v>
      </c>
      <c r="W163" s="93">
        <f t="shared" si="14"/>
        <v>13.416450706115231</v>
      </c>
      <c r="X163" s="93">
        <f>IF(C163&gt;0, C163/SQRT(C163*C163+D163*D163), 0)</f>
        <v>0.89442647697988265</v>
      </c>
      <c r="Z163" s="8">
        <v>20</v>
      </c>
      <c r="AA163" s="8">
        <v>10</v>
      </c>
      <c r="AC163" s="151">
        <v>30</v>
      </c>
      <c r="AD163" s="8">
        <f t="shared" si="15"/>
        <v>29.4</v>
      </c>
      <c r="AF163" s="152">
        <v>25.0533</v>
      </c>
      <c r="AG163" s="152">
        <v>12.5267</v>
      </c>
    </row>
    <row r="164" spans="1:33" x14ac:dyDescent="0.25">
      <c r="A164" s="99">
        <f t="shared" si="16"/>
        <v>163</v>
      </c>
      <c r="B164" s="8">
        <v>1</v>
      </c>
      <c r="C164" s="8">
        <v>12.9451</v>
      </c>
      <c r="D164" s="8">
        <v>6.9870000000000001</v>
      </c>
      <c r="E164" s="8">
        <v>0</v>
      </c>
      <c r="F164" s="8">
        <v>0</v>
      </c>
      <c r="G164" s="8">
        <v>1</v>
      </c>
      <c r="H164" s="8">
        <v>1</v>
      </c>
      <c r="I164" s="8">
        <v>0</v>
      </c>
      <c r="J164" s="104">
        <v>66</v>
      </c>
      <c r="K164" s="8">
        <v>1</v>
      </c>
      <c r="L164" s="7">
        <v>1.05</v>
      </c>
      <c r="M164" s="100">
        <v>0.95</v>
      </c>
      <c r="N164" s="5" t="s">
        <v>238</v>
      </c>
      <c r="O164" s="57"/>
      <c r="P164" s="58"/>
      <c r="Q164" s="12">
        <v>103.67413333333333</v>
      </c>
      <c r="R164" s="12">
        <v>1.2322500000000001</v>
      </c>
      <c r="S164" s="149"/>
      <c r="T164" s="149">
        <v>1</v>
      </c>
      <c r="U164" s="151">
        <v>15</v>
      </c>
      <c r="V164" s="93">
        <f t="shared" si="13"/>
        <v>13.2</v>
      </c>
      <c r="W164" s="93">
        <f t="shared" si="14"/>
        <v>7.1246052522227519</v>
      </c>
      <c r="X164" s="93">
        <v>0.88</v>
      </c>
      <c r="Z164" s="8">
        <v>0</v>
      </c>
      <c r="AA164" s="8">
        <v>0</v>
      </c>
      <c r="AC164" s="151">
        <v>15</v>
      </c>
      <c r="AD164" s="8">
        <f t="shared" si="15"/>
        <v>14.7</v>
      </c>
      <c r="AF164" s="152">
        <v>12.9451</v>
      </c>
      <c r="AG164" s="152">
        <v>6.9870000000000001</v>
      </c>
    </row>
    <row r="165" spans="1:33" x14ac:dyDescent="0.25">
      <c r="A165" s="99">
        <f t="shared" si="16"/>
        <v>164</v>
      </c>
      <c r="B165" s="8">
        <v>1</v>
      </c>
      <c r="C165" s="8">
        <v>12.9321</v>
      </c>
      <c r="D165" s="8">
        <v>6.6253000000000002</v>
      </c>
      <c r="E165" s="8">
        <v>0</v>
      </c>
      <c r="F165" s="8">
        <v>0</v>
      </c>
      <c r="G165" s="8">
        <v>1</v>
      </c>
      <c r="H165" s="8">
        <v>1</v>
      </c>
      <c r="I165" s="8">
        <v>0</v>
      </c>
      <c r="J165" s="6">
        <v>22</v>
      </c>
      <c r="K165" s="8">
        <v>1</v>
      </c>
      <c r="L165" s="7">
        <v>1.05</v>
      </c>
      <c r="M165" s="100">
        <v>0.95</v>
      </c>
      <c r="N165" s="5" t="s">
        <v>190</v>
      </c>
      <c r="O165" s="57"/>
      <c r="P165" s="58"/>
      <c r="Q165" s="12">
        <v>103.67471666666667</v>
      </c>
      <c r="R165" s="12">
        <v>1.2527999999999999</v>
      </c>
      <c r="S165" s="149"/>
      <c r="T165" s="149">
        <v>1</v>
      </c>
      <c r="U165" s="151">
        <v>15</v>
      </c>
      <c r="V165" s="93">
        <f t="shared" si="13"/>
        <v>13.35</v>
      </c>
      <c r="W165" s="93">
        <f t="shared" si="14"/>
        <v>6.8394078691067985</v>
      </c>
      <c r="X165" s="93">
        <v>0.89</v>
      </c>
      <c r="Z165" s="8">
        <v>0</v>
      </c>
      <c r="AA165" s="8">
        <v>0</v>
      </c>
      <c r="AC165" s="151">
        <v>15</v>
      </c>
      <c r="AD165" s="8">
        <f t="shared" si="15"/>
        <v>14.7</v>
      </c>
      <c r="AF165" s="152">
        <v>12.9321</v>
      </c>
      <c r="AG165" s="152">
        <v>6.6253000000000002</v>
      </c>
    </row>
    <row r="166" spans="1:33" x14ac:dyDescent="0.25">
      <c r="A166" s="99">
        <f t="shared" si="16"/>
        <v>165</v>
      </c>
      <c r="B166" s="8">
        <v>1</v>
      </c>
      <c r="C166" s="8">
        <v>4.7717000000000001</v>
      </c>
      <c r="D166" s="8">
        <v>2.4445999999999999</v>
      </c>
      <c r="E166" s="8">
        <v>0</v>
      </c>
      <c r="F166" s="8">
        <v>0</v>
      </c>
      <c r="G166" s="8">
        <v>1</v>
      </c>
      <c r="H166" s="8">
        <v>1</v>
      </c>
      <c r="I166" s="8">
        <v>0</v>
      </c>
      <c r="J166" s="6">
        <v>22</v>
      </c>
      <c r="K166" s="8">
        <v>1</v>
      </c>
      <c r="L166" s="7">
        <v>1.05</v>
      </c>
      <c r="M166" s="100">
        <v>0.95</v>
      </c>
      <c r="N166" s="5" t="s">
        <v>207</v>
      </c>
      <c r="O166" s="57"/>
      <c r="P166" s="58"/>
      <c r="Q166" s="12">
        <v>103.67556666666667</v>
      </c>
      <c r="R166" s="12">
        <v>1.2454833333333333</v>
      </c>
      <c r="S166" s="149"/>
      <c r="T166" s="149">
        <v>1</v>
      </c>
      <c r="U166" s="151">
        <v>6</v>
      </c>
      <c r="V166" s="93">
        <f t="shared" si="13"/>
        <v>5.34</v>
      </c>
      <c r="W166" s="93">
        <f t="shared" si="14"/>
        <v>2.7357631476427198</v>
      </c>
      <c r="X166" s="93">
        <v>0.89</v>
      </c>
      <c r="Z166" s="8">
        <v>0</v>
      </c>
      <c r="AA166" s="8">
        <v>0</v>
      </c>
      <c r="AC166" s="151">
        <v>6</v>
      </c>
      <c r="AD166" s="8">
        <f t="shared" si="15"/>
        <v>5.88</v>
      </c>
      <c r="AF166" s="152">
        <v>4.7717000000000001</v>
      </c>
      <c r="AG166" s="152">
        <v>2.4445999999999999</v>
      </c>
    </row>
    <row r="167" spans="1:33" x14ac:dyDescent="0.25">
      <c r="A167" s="99">
        <f t="shared" si="16"/>
        <v>166</v>
      </c>
      <c r="B167" s="8">
        <v>1</v>
      </c>
      <c r="C167" s="8">
        <v>4.7027999999999999</v>
      </c>
      <c r="D167" s="8">
        <v>2.4093</v>
      </c>
      <c r="E167" s="8">
        <v>0</v>
      </c>
      <c r="F167" s="8">
        <v>0</v>
      </c>
      <c r="G167" s="8">
        <v>1</v>
      </c>
      <c r="H167" s="8">
        <v>1</v>
      </c>
      <c r="I167" s="8">
        <v>0</v>
      </c>
      <c r="J167" s="6">
        <v>22</v>
      </c>
      <c r="K167" s="8">
        <v>1</v>
      </c>
      <c r="L167" s="7">
        <v>1.05</v>
      </c>
      <c r="M167" s="100">
        <v>0.95</v>
      </c>
      <c r="N167" s="5" t="s">
        <v>210</v>
      </c>
      <c r="O167" s="57"/>
      <c r="P167" s="58"/>
      <c r="Q167" s="12">
        <v>103.6759</v>
      </c>
      <c r="R167" s="12">
        <v>1.2445333333333333</v>
      </c>
      <c r="S167" s="149"/>
      <c r="T167" s="149">
        <v>1</v>
      </c>
      <c r="U167" s="151">
        <v>6</v>
      </c>
      <c r="V167" s="93">
        <f t="shared" si="13"/>
        <v>5.34</v>
      </c>
      <c r="W167" s="93">
        <f t="shared" si="14"/>
        <v>2.7357631476427198</v>
      </c>
      <c r="X167" s="93">
        <v>0.89</v>
      </c>
      <c r="Z167" s="8">
        <v>0</v>
      </c>
      <c r="AA167" s="8">
        <v>0</v>
      </c>
      <c r="AC167" s="151">
        <v>6</v>
      </c>
      <c r="AD167" s="8">
        <f t="shared" si="15"/>
        <v>5.88</v>
      </c>
      <c r="AF167" s="152">
        <v>4.7027999999999999</v>
      </c>
      <c r="AG167" s="152">
        <v>2.4093</v>
      </c>
    </row>
    <row r="168" spans="1:33" x14ac:dyDescent="0.25">
      <c r="A168" s="99">
        <f t="shared" si="16"/>
        <v>167</v>
      </c>
      <c r="B168" s="8">
        <v>1</v>
      </c>
      <c r="C168" s="8">
        <v>4.5415000000000001</v>
      </c>
      <c r="D168" s="8">
        <v>2.3267000000000002</v>
      </c>
      <c r="E168" s="8">
        <v>0</v>
      </c>
      <c r="F168" s="8">
        <v>0</v>
      </c>
      <c r="G168" s="8">
        <v>1</v>
      </c>
      <c r="H168" s="8">
        <v>1</v>
      </c>
      <c r="I168" s="8">
        <v>0</v>
      </c>
      <c r="J168" s="6">
        <v>22</v>
      </c>
      <c r="K168" s="8">
        <v>1</v>
      </c>
      <c r="L168" s="7">
        <v>1.05</v>
      </c>
      <c r="M168" s="100">
        <v>0.95</v>
      </c>
      <c r="N168" s="5" t="s">
        <v>208</v>
      </c>
      <c r="O168" s="57"/>
      <c r="P168" s="58"/>
      <c r="Q168" s="12">
        <v>103.67333333333333</v>
      </c>
      <c r="R168" s="12">
        <v>1.2453333333333334</v>
      </c>
      <c r="S168" s="149"/>
      <c r="T168" s="149">
        <v>1</v>
      </c>
      <c r="U168" s="151">
        <v>6</v>
      </c>
      <c r="V168" s="93">
        <f t="shared" si="13"/>
        <v>5.34</v>
      </c>
      <c r="W168" s="93">
        <f t="shared" si="14"/>
        <v>2.7357631476427198</v>
      </c>
      <c r="X168" s="93">
        <v>0.89</v>
      </c>
      <c r="Z168" s="8">
        <v>0</v>
      </c>
      <c r="AA168" s="8">
        <v>0</v>
      </c>
      <c r="AC168" s="151">
        <v>6</v>
      </c>
      <c r="AD168" s="8">
        <f t="shared" si="15"/>
        <v>5.88</v>
      </c>
      <c r="AF168" s="152">
        <v>4.5415000000000001</v>
      </c>
      <c r="AG168" s="152">
        <v>2.3267000000000002</v>
      </c>
    </row>
    <row r="169" spans="1:33" x14ac:dyDescent="0.25">
      <c r="A169" s="99">
        <f t="shared" si="16"/>
        <v>168</v>
      </c>
      <c r="B169" s="8">
        <v>1</v>
      </c>
      <c r="C169" s="8">
        <v>0</v>
      </c>
      <c r="D169" s="8">
        <v>0</v>
      </c>
      <c r="E169" s="8">
        <v>0</v>
      </c>
      <c r="F169" s="8">
        <v>0</v>
      </c>
      <c r="G169" s="8">
        <v>1</v>
      </c>
      <c r="H169" s="8">
        <v>1</v>
      </c>
      <c r="I169" s="8">
        <v>0</v>
      </c>
      <c r="J169" s="6">
        <v>22</v>
      </c>
      <c r="K169" s="8">
        <v>1</v>
      </c>
      <c r="L169" s="7">
        <v>1.05</v>
      </c>
      <c r="M169" s="100">
        <v>0.95</v>
      </c>
      <c r="N169" s="5" t="s">
        <v>209</v>
      </c>
      <c r="O169" s="57"/>
      <c r="P169" s="58"/>
      <c r="Q169" s="12">
        <v>103.67400000000001</v>
      </c>
      <c r="R169" s="12">
        <v>1.2463833333333334</v>
      </c>
      <c r="S169" s="139"/>
      <c r="T169" s="139">
        <v>0</v>
      </c>
      <c r="U169" s="151">
        <v>0</v>
      </c>
      <c r="V169" s="93">
        <f>U169*X169</f>
        <v>0</v>
      </c>
      <c r="W169" s="93">
        <f t="shared" si="14"/>
        <v>0</v>
      </c>
      <c r="X169" s="93">
        <v>0.89</v>
      </c>
      <c r="Z169" s="8">
        <v>0</v>
      </c>
      <c r="AA169" s="8">
        <v>0</v>
      </c>
      <c r="AC169" s="151">
        <v>0</v>
      </c>
      <c r="AD169" s="8">
        <f t="shared" si="15"/>
        <v>0</v>
      </c>
      <c r="AF169" s="152">
        <v>0</v>
      </c>
      <c r="AG169" s="152">
        <v>0</v>
      </c>
    </row>
    <row r="170" spans="1:33" x14ac:dyDescent="0.25">
      <c r="A170" s="99">
        <f t="shared" si="16"/>
        <v>169</v>
      </c>
      <c r="B170" s="8">
        <v>1</v>
      </c>
      <c r="C170" s="8">
        <v>4.5602</v>
      </c>
      <c r="D170" s="8">
        <v>1.4988999999999999</v>
      </c>
      <c r="E170" s="8">
        <v>0</v>
      </c>
      <c r="F170" s="8">
        <v>0</v>
      </c>
      <c r="G170" s="8">
        <v>1</v>
      </c>
      <c r="H170" s="8">
        <v>1</v>
      </c>
      <c r="I170" s="8">
        <v>0</v>
      </c>
      <c r="J170" s="6">
        <v>22</v>
      </c>
      <c r="K170" s="8">
        <v>1</v>
      </c>
      <c r="L170" s="7">
        <v>1.05</v>
      </c>
      <c r="M170" s="100">
        <v>0.95</v>
      </c>
      <c r="N170" s="5" t="s">
        <v>165</v>
      </c>
      <c r="O170" s="57"/>
      <c r="P170" s="58"/>
      <c r="Q170" s="12">
        <v>103.66453333333334</v>
      </c>
      <c r="R170" s="12">
        <v>1.2666500000000001</v>
      </c>
      <c r="S170" s="149"/>
      <c r="T170" s="149">
        <v>1</v>
      </c>
      <c r="U170" s="151">
        <v>5</v>
      </c>
      <c r="V170" s="93">
        <f>U170*X170</f>
        <v>4.75</v>
      </c>
      <c r="W170" s="93">
        <f t="shared" si="14"/>
        <v>1.5612494995995996</v>
      </c>
      <c r="X170" s="93">
        <v>0.95</v>
      </c>
      <c r="Z170" s="8">
        <v>0</v>
      </c>
      <c r="AA170" s="8">
        <v>0</v>
      </c>
      <c r="AC170" s="151">
        <v>5</v>
      </c>
      <c r="AD170" s="8">
        <f t="shared" si="15"/>
        <v>4.9000000000000004</v>
      </c>
      <c r="AF170" s="152">
        <v>4.5602</v>
      </c>
      <c r="AG170" s="152">
        <v>1.4988999999999999</v>
      </c>
    </row>
    <row r="171" spans="1:33" x14ac:dyDescent="0.25">
      <c r="A171" s="99">
        <f t="shared" si="16"/>
        <v>170</v>
      </c>
      <c r="B171" s="8">
        <v>1</v>
      </c>
      <c r="C171" s="8">
        <v>4.3765999999999998</v>
      </c>
      <c r="D171" s="8">
        <v>1.8644000000000001</v>
      </c>
      <c r="E171" s="8">
        <v>0</v>
      </c>
      <c r="F171" s="8">
        <v>0</v>
      </c>
      <c r="G171" s="8">
        <v>1</v>
      </c>
      <c r="H171" s="8">
        <v>1</v>
      </c>
      <c r="I171" s="8">
        <v>0</v>
      </c>
      <c r="J171" s="6">
        <v>22</v>
      </c>
      <c r="K171" s="8">
        <v>1</v>
      </c>
      <c r="L171" s="7">
        <v>1.05</v>
      </c>
      <c r="M171" s="100">
        <v>0.95</v>
      </c>
      <c r="N171" s="5" t="s">
        <v>167</v>
      </c>
      <c r="O171" s="57"/>
      <c r="P171" s="58"/>
      <c r="Q171" s="12">
        <v>103.66445</v>
      </c>
      <c r="R171" s="12">
        <v>1.2656499999999999</v>
      </c>
      <c r="S171" s="149"/>
      <c r="T171" s="149">
        <v>1</v>
      </c>
      <c r="U171" s="151">
        <v>5</v>
      </c>
      <c r="V171" s="93">
        <f>U171*X171</f>
        <v>4.6000000000000005</v>
      </c>
      <c r="W171" s="93">
        <f t="shared" si="14"/>
        <v>1.9595917942265415</v>
      </c>
      <c r="X171" s="93">
        <v>0.92</v>
      </c>
      <c r="Z171" s="8">
        <v>0</v>
      </c>
      <c r="AA171" s="8">
        <v>0</v>
      </c>
      <c r="AC171" s="151">
        <v>5</v>
      </c>
      <c r="AD171" s="8">
        <f t="shared" si="15"/>
        <v>4.9000000000000004</v>
      </c>
      <c r="AF171" s="152">
        <v>4.3765999999999998</v>
      </c>
      <c r="AG171" s="152">
        <v>1.8644000000000001</v>
      </c>
    </row>
    <row r="172" spans="1:33" x14ac:dyDescent="0.25">
      <c r="A172" s="99">
        <f t="shared" si="16"/>
        <v>171</v>
      </c>
      <c r="B172" s="8">
        <v>1</v>
      </c>
      <c r="C172" s="8">
        <v>0</v>
      </c>
      <c r="D172" s="8">
        <v>0</v>
      </c>
      <c r="E172" s="8">
        <v>0</v>
      </c>
      <c r="F172" s="8">
        <v>0</v>
      </c>
      <c r="G172" s="8">
        <v>1</v>
      </c>
      <c r="H172" s="8">
        <v>1</v>
      </c>
      <c r="I172" s="8">
        <v>0</v>
      </c>
      <c r="J172" s="6">
        <v>22</v>
      </c>
      <c r="K172" s="8">
        <v>1</v>
      </c>
      <c r="L172" s="7">
        <v>1.05</v>
      </c>
      <c r="M172" s="100">
        <v>0.95</v>
      </c>
      <c r="N172" s="5" t="s">
        <v>170</v>
      </c>
      <c r="O172" s="57"/>
      <c r="P172" s="58"/>
      <c r="Q172" s="12">
        <v>103.66566666666667</v>
      </c>
      <c r="R172" s="12">
        <v>1.2688666666666668</v>
      </c>
      <c r="S172" s="139"/>
      <c r="T172" s="139">
        <v>0</v>
      </c>
      <c r="U172" s="151">
        <v>0</v>
      </c>
      <c r="V172" s="93">
        <f t="shared" si="13"/>
        <v>0</v>
      </c>
      <c r="W172" s="93">
        <f t="shared" si="14"/>
        <v>0</v>
      </c>
      <c r="X172" s="93">
        <f>IF(C172&gt;0, C172/SQRT(C172*C172+D172*D172), 0)</f>
        <v>0</v>
      </c>
      <c r="Z172" s="8">
        <v>0</v>
      </c>
      <c r="AA172" s="8">
        <v>0</v>
      </c>
      <c r="AC172" s="151">
        <v>0</v>
      </c>
      <c r="AD172" s="8">
        <f t="shared" si="15"/>
        <v>0</v>
      </c>
      <c r="AF172" s="152">
        <v>0</v>
      </c>
      <c r="AG172" s="152">
        <v>0</v>
      </c>
    </row>
    <row r="173" spans="1:33" x14ac:dyDescent="0.25">
      <c r="A173" s="99">
        <f t="shared" si="16"/>
        <v>172</v>
      </c>
      <c r="B173" s="8">
        <v>1</v>
      </c>
      <c r="C173" s="8">
        <v>0</v>
      </c>
      <c r="D173" s="8">
        <v>0</v>
      </c>
      <c r="E173" s="8">
        <v>0</v>
      </c>
      <c r="F173" s="8">
        <v>0</v>
      </c>
      <c r="G173" s="8">
        <v>1</v>
      </c>
      <c r="H173" s="8">
        <v>1</v>
      </c>
      <c r="I173" s="8">
        <v>0</v>
      </c>
      <c r="J173" s="6">
        <v>22</v>
      </c>
      <c r="K173" s="8">
        <v>1</v>
      </c>
      <c r="L173" s="7">
        <v>1.05</v>
      </c>
      <c r="M173" s="100">
        <v>0.95</v>
      </c>
      <c r="N173" s="5" t="s">
        <v>172</v>
      </c>
      <c r="O173" s="57"/>
      <c r="P173" s="58"/>
      <c r="Q173" s="12">
        <v>103.66419999999999</v>
      </c>
      <c r="R173" s="12">
        <v>1.2707833333333334</v>
      </c>
      <c r="S173" s="139"/>
      <c r="T173" s="139">
        <v>0</v>
      </c>
      <c r="U173" s="151">
        <v>0</v>
      </c>
      <c r="V173" s="93">
        <f t="shared" si="13"/>
        <v>0</v>
      </c>
      <c r="W173" s="93">
        <f t="shared" si="14"/>
        <v>0</v>
      </c>
      <c r="X173" s="93">
        <f>IF(C173&gt;0, C173/SQRT(C173*C173+D173*D173), 0)</f>
        <v>0</v>
      </c>
      <c r="Z173" s="8">
        <v>0</v>
      </c>
      <c r="AA173" s="8">
        <v>0</v>
      </c>
      <c r="AC173" s="151">
        <v>0</v>
      </c>
      <c r="AD173" s="8">
        <f t="shared" si="15"/>
        <v>0</v>
      </c>
      <c r="AF173" s="152">
        <v>0</v>
      </c>
      <c r="AG173" s="152">
        <v>0</v>
      </c>
    </row>
    <row r="174" spans="1:33" x14ac:dyDescent="0.25">
      <c r="A174" s="99">
        <f t="shared" si="16"/>
        <v>173</v>
      </c>
      <c r="B174" s="8">
        <v>1</v>
      </c>
      <c r="C174" s="8">
        <v>0</v>
      </c>
      <c r="D174" s="8">
        <v>0</v>
      </c>
      <c r="E174" s="8">
        <v>0</v>
      </c>
      <c r="F174" s="8">
        <v>0</v>
      </c>
      <c r="G174" s="8">
        <v>1</v>
      </c>
      <c r="H174" s="8">
        <v>1</v>
      </c>
      <c r="I174" s="8">
        <v>0</v>
      </c>
      <c r="J174" s="6">
        <v>22</v>
      </c>
      <c r="K174" s="8">
        <v>1</v>
      </c>
      <c r="L174" s="7">
        <v>1.05</v>
      </c>
      <c r="M174" s="100">
        <v>0.95</v>
      </c>
      <c r="N174" s="5" t="s">
        <v>174</v>
      </c>
      <c r="O174" s="57"/>
      <c r="P174" s="58"/>
      <c r="Q174" s="12">
        <v>103.66213333333333</v>
      </c>
      <c r="R174" s="12">
        <v>1.27135</v>
      </c>
      <c r="S174" s="139"/>
      <c r="T174" s="139">
        <v>0</v>
      </c>
      <c r="U174" s="151">
        <v>9</v>
      </c>
      <c r="V174" s="93">
        <f>U174*X174</f>
        <v>7.92</v>
      </c>
      <c r="W174" s="93">
        <f t="shared" si="14"/>
        <v>4.2747631513336506</v>
      </c>
      <c r="X174" s="93">
        <v>0.88</v>
      </c>
      <c r="Z174" s="8">
        <v>0</v>
      </c>
      <c r="AA174" s="8">
        <v>0</v>
      </c>
      <c r="AC174" s="151">
        <v>9</v>
      </c>
      <c r="AD174" s="8">
        <f t="shared" si="15"/>
        <v>8.82</v>
      </c>
      <c r="AF174" s="152">
        <v>0</v>
      </c>
      <c r="AG174" s="152">
        <v>0</v>
      </c>
    </row>
    <row r="175" spans="1:33" x14ac:dyDescent="0.25">
      <c r="A175" s="99">
        <f t="shared" si="16"/>
        <v>174</v>
      </c>
      <c r="B175" s="8">
        <v>1</v>
      </c>
      <c r="C175" s="8">
        <v>14.137600000000001</v>
      </c>
      <c r="D175" s="8">
        <v>6.6452</v>
      </c>
      <c r="E175" s="8">
        <v>0</v>
      </c>
      <c r="F175" s="8">
        <v>0</v>
      </c>
      <c r="G175" s="8">
        <v>1</v>
      </c>
      <c r="H175" s="8">
        <v>1</v>
      </c>
      <c r="I175" s="8">
        <v>0</v>
      </c>
      <c r="J175" s="6">
        <v>22</v>
      </c>
      <c r="K175" s="8">
        <v>1</v>
      </c>
      <c r="L175" s="7">
        <v>1.05</v>
      </c>
      <c r="M175" s="100">
        <v>0.95</v>
      </c>
      <c r="N175" s="5" t="s">
        <v>176</v>
      </c>
      <c r="O175" s="57"/>
      <c r="P175" s="58"/>
      <c r="Q175" s="12">
        <v>103.66241666666667</v>
      </c>
      <c r="R175" s="12">
        <v>1.2705</v>
      </c>
      <c r="S175" s="136" t="s">
        <v>936</v>
      </c>
      <c r="T175" s="136">
        <v>1</v>
      </c>
      <c r="U175" s="151">
        <v>18</v>
      </c>
      <c r="V175" s="93">
        <f t="shared" si="13"/>
        <v>16.290192415613561</v>
      </c>
      <c r="W175" s="93">
        <f t="shared" si="14"/>
        <v>7.6569988286721404</v>
      </c>
      <c r="X175" s="93">
        <f>IF(C175&gt;0, C175/SQRT(C175*C175+D175*D175), 0)</f>
        <v>0.90501068975630883</v>
      </c>
      <c r="Z175" s="8">
        <v>8.5100002589999999</v>
      </c>
      <c r="AA175" s="8">
        <v>3.9999999110000002</v>
      </c>
      <c r="AC175" s="151">
        <v>18</v>
      </c>
      <c r="AD175" s="8">
        <f t="shared" si="15"/>
        <v>17.64</v>
      </c>
      <c r="AF175" s="152">
        <v>14.137600000000001</v>
      </c>
      <c r="AG175" s="152">
        <v>6.6452</v>
      </c>
    </row>
    <row r="176" spans="1:33" x14ac:dyDescent="0.25">
      <c r="A176" s="99">
        <f t="shared" si="16"/>
        <v>175</v>
      </c>
      <c r="B176" s="8">
        <v>1</v>
      </c>
      <c r="C176" s="8">
        <v>8.0678000000000001</v>
      </c>
      <c r="D176" s="8">
        <v>2.6518000000000002</v>
      </c>
      <c r="E176" s="8">
        <v>0</v>
      </c>
      <c r="F176" s="8">
        <v>0</v>
      </c>
      <c r="G176" s="8">
        <v>1</v>
      </c>
      <c r="H176" s="8">
        <v>1</v>
      </c>
      <c r="I176" s="8">
        <v>0</v>
      </c>
      <c r="J176" s="6">
        <v>22</v>
      </c>
      <c r="K176" s="8">
        <v>1</v>
      </c>
      <c r="L176" s="7">
        <v>1.05</v>
      </c>
      <c r="M176" s="100">
        <v>0.95</v>
      </c>
      <c r="N176" s="5" t="s">
        <v>175</v>
      </c>
      <c r="O176" s="57"/>
      <c r="P176" s="58"/>
      <c r="Q176" s="12">
        <v>103.66131666666666</v>
      </c>
      <c r="R176" s="12">
        <v>1.2708166666666667</v>
      </c>
      <c r="S176" s="149"/>
      <c r="T176" s="149">
        <v>1</v>
      </c>
      <c r="U176" s="151">
        <v>9</v>
      </c>
      <c r="V176" s="93">
        <f t="shared" si="13"/>
        <v>8.5499999999999989</v>
      </c>
      <c r="W176" s="93">
        <f t="shared" si="14"/>
        <v>2.8102490992792832</v>
      </c>
      <c r="X176" s="93">
        <v>0.95</v>
      </c>
      <c r="Z176" s="8">
        <v>0</v>
      </c>
      <c r="AA176" s="8">
        <v>0</v>
      </c>
      <c r="AC176" s="151">
        <v>9</v>
      </c>
      <c r="AD176" s="8">
        <f t="shared" si="15"/>
        <v>8.82</v>
      </c>
      <c r="AF176" s="152">
        <v>8.0678000000000001</v>
      </c>
      <c r="AG176" s="152">
        <v>2.6518000000000002</v>
      </c>
    </row>
    <row r="177" spans="1:33" x14ac:dyDescent="0.25">
      <c r="A177" s="99">
        <f t="shared" si="16"/>
        <v>176</v>
      </c>
      <c r="B177" s="8">
        <v>1</v>
      </c>
      <c r="C177" s="8">
        <v>10.7637</v>
      </c>
      <c r="D177" s="8">
        <v>5.3041</v>
      </c>
      <c r="E177" s="8">
        <v>0</v>
      </c>
      <c r="F177" s="8">
        <v>0</v>
      </c>
      <c r="G177" s="8">
        <v>1</v>
      </c>
      <c r="H177" s="8">
        <v>1</v>
      </c>
      <c r="I177" s="8">
        <v>0</v>
      </c>
      <c r="J177" s="6">
        <v>22</v>
      </c>
      <c r="K177" s="8">
        <v>1</v>
      </c>
      <c r="L177" s="7">
        <v>1.05</v>
      </c>
      <c r="M177" s="100">
        <v>0.95</v>
      </c>
      <c r="N177" s="5" t="s">
        <v>183</v>
      </c>
      <c r="O177" s="57"/>
      <c r="P177" s="58"/>
      <c r="Q177" s="12">
        <v>103.66413333333334</v>
      </c>
      <c r="R177" s="12">
        <v>1.2728166666666667</v>
      </c>
      <c r="S177" s="133" t="s">
        <v>953</v>
      </c>
      <c r="T177" s="133">
        <v>4</v>
      </c>
      <c r="U177" s="151">
        <v>18</v>
      </c>
      <c r="V177" s="93">
        <f t="shared" si="13"/>
        <v>16.146070579011525</v>
      </c>
      <c r="W177" s="93">
        <f t="shared" si="14"/>
        <v>7.9564065291800201</v>
      </c>
      <c r="X177" s="93">
        <f>IF(C177&gt;0, C177/SQRT(C177*C177+D177*D177), 0)</f>
        <v>0.89700392105619575</v>
      </c>
      <c r="Z177" s="8">
        <v>15.219999850000001</v>
      </c>
      <c r="AA177" s="8">
        <v>7.5000002979999998</v>
      </c>
      <c r="AC177" s="151">
        <v>18</v>
      </c>
      <c r="AD177" s="8">
        <f t="shared" si="15"/>
        <v>17.64</v>
      </c>
      <c r="AF177" s="152">
        <v>10.7637</v>
      </c>
      <c r="AG177" s="152">
        <v>5.3041</v>
      </c>
    </row>
    <row r="178" spans="1:33" x14ac:dyDescent="0.25">
      <c r="A178" s="99">
        <f t="shared" si="16"/>
        <v>177</v>
      </c>
      <c r="B178" s="8">
        <v>1</v>
      </c>
      <c r="C178" s="8">
        <v>9.8641000000000005</v>
      </c>
      <c r="D178" s="8">
        <v>4.8659999999999997</v>
      </c>
      <c r="E178" s="8">
        <v>0</v>
      </c>
      <c r="F178" s="8">
        <v>0</v>
      </c>
      <c r="G178" s="8">
        <v>1</v>
      </c>
      <c r="H178" s="8">
        <v>1</v>
      </c>
      <c r="I178" s="8">
        <v>0</v>
      </c>
      <c r="J178" s="6">
        <v>22</v>
      </c>
      <c r="K178" s="8">
        <v>1</v>
      </c>
      <c r="L178" s="7">
        <v>1.05</v>
      </c>
      <c r="M178" s="100">
        <v>0.95</v>
      </c>
      <c r="N178" s="5" t="s">
        <v>189</v>
      </c>
      <c r="O178" s="57"/>
      <c r="P178" s="58"/>
      <c r="Q178" s="12">
        <v>103.66716666666667</v>
      </c>
      <c r="R178" s="12">
        <v>1.2750666666666666</v>
      </c>
      <c r="S178" s="133" t="s">
        <v>963</v>
      </c>
      <c r="T178" s="133">
        <v>4</v>
      </c>
      <c r="U178" s="151">
        <v>18</v>
      </c>
      <c r="V178" s="93">
        <f>U178*X178</f>
        <v>16.142693790133535</v>
      </c>
      <c r="W178" s="93">
        <f t="shared" si="14"/>
        <v>7.9632554397045556</v>
      </c>
      <c r="X178" s="93">
        <f>IF(C178&gt;0, C178/SQRT(C178*C178+D178*D178), 0)</f>
        <v>0.8968163216740852</v>
      </c>
      <c r="Z178" s="8">
        <v>14.190000299999999</v>
      </c>
      <c r="AA178" s="8">
        <v>7.0000000299999998</v>
      </c>
      <c r="AC178" s="151">
        <v>18</v>
      </c>
      <c r="AD178" s="8">
        <f t="shared" si="15"/>
        <v>17.64</v>
      </c>
      <c r="AF178" s="152">
        <v>9.8641000000000005</v>
      </c>
      <c r="AG178" s="152">
        <v>4.8659999999999997</v>
      </c>
    </row>
    <row r="179" spans="1:33" x14ac:dyDescent="0.25">
      <c r="A179" s="99">
        <f t="shared" si="16"/>
        <v>178</v>
      </c>
      <c r="B179" s="8">
        <v>1</v>
      </c>
      <c r="C179" s="8">
        <v>10.999499999999999</v>
      </c>
      <c r="D179" s="8">
        <v>5.4260999999999999</v>
      </c>
      <c r="E179" s="8">
        <v>0</v>
      </c>
      <c r="F179" s="8">
        <v>0</v>
      </c>
      <c r="G179" s="8">
        <v>1</v>
      </c>
      <c r="H179" s="8">
        <v>1</v>
      </c>
      <c r="I179" s="8">
        <v>0</v>
      </c>
      <c r="J179" s="6">
        <v>22</v>
      </c>
      <c r="K179" s="8">
        <v>1</v>
      </c>
      <c r="L179" s="7">
        <v>1.05</v>
      </c>
      <c r="M179" s="100">
        <v>0.95</v>
      </c>
      <c r="N179" s="5" t="s">
        <v>188</v>
      </c>
      <c r="O179" s="57"/>
      <c r="P179" s="58"/>
      <c r="Q179" s="12">
        <v>103.67008333333334</v>
      </c>
      <c r="R179" s="12">
        <v>1.2772166666666667</v>
      </c>
      <c r="S179" s="133"/>
      <c r="T179" s="133">
        <v>4</v>
      </c>
      <c r="U179" s="151">
        <v>18</v>
      </c>
      <c r="V179" s="93">
        <f t="shared" si="13"/>
        <v>16.142693790133535</v>
      </c>
      <c r="W179" s="93">
        <f t="shared" si="14"/>
        <v>7.9632554397045556</v>
      </c>
      <c r="X179" s="93">
        <f>X178</f>
        <v>0.8968163216740852</v>
      </c>
      <c r="Z179" s="8">
        <v>0</v>
      </c>
      <c r="AA179" s="8">
        <v>0</v>
      </c>
      <c r="AC179" s="151">
        <v>18</v>
      </c>
      <c r="AD179" s="8">
        <f t="shared" si="15"/>
        <v>17.64</v>
      </c>
      <c r="AF179" s="152">
        <v>10.999499999999999</v>
      </c>
      <c r="AG179" s="152">
        <v>5.4260999999999999</v>
      </c>
    </row>
    <row r="180" spans="1:33" x14ac:dyDescent="0.25">
      <c r="A180" s="99">
        <f t="shared" si="16"/>
        <v>179</v>
      </c>
      <c r="B180" s="8">
        <v>1</v>
      </c>
      <c r="C180" s="8">
        <v>88.519000000000005</v>
      </c>
      <c r="D180" s="8">
        <v>4.4021999999999997</v>
      </c>
      <c r="E180" s="8">
        <v>0</v>
      </c>
      <c r="F180" s="8">
        <v>0</v>
      </c>
      <c r="G180" s="8">
        <v>1</v>
      </c>
      <c r="H180" s="8">
        <v>1</v>
      </c>
      <c r="I180" s="8">
        <v>0</v>
      </c>
      <c r="J180" s="104">
        <v>66</v>
      </c>
      <c r="K180" s="8">
        <v>1</v>
      </c>
      <c r="L180" s="7">
        <v>1.05</v>
      </c>
      <c r="M180" s="100">
        <v>0.95</v>
      </c>
      <c r="N180" s="5" t="s">
        <v>173</v>
      </c>
      <c r="O180" s="57"/>
      <c r="P180" s="58"/>
      <c r="Q180" s="12">
        <v>103.67223333333334</v>
      </c>
      <c r="R180" s="12">
        <v>1.2711999999999999</v>
      </c>
      <c r="S180" s="133" t="s">
        <v>963</v>
      </c>
      <c r="T180" s="133">
        <v>4</v>
      </c>
      <c r="U180" s="151">
        <v>100</v>
      </c>
      <c r="V180" s="93">
        <f t="shared" si="13"/>
        <v>99.876566833447939</v>
      </c>
      <c r="W180" s="93">
        <f t="shared" si="14"/>
        <v>4.9670310612886999</v>
      </c>
      <c r="X180" s="93">
        <f t="shared" ref="X180:X192" si="18">IF(C180&gt;0, C180/SQRT(C180*C180+D180*D180), 0)</f>
        <v>0.99876566833447944</v>
      </c>
      <c r="Z180" s="8">
        <v>50.270003080000002</v>
      </c>
      <c r="AA180" s="8">
        <v>2.500000037</v>
      </c>
      <c r="AC180" s="151">
        <v>100</v>
      </c>
      <c r="AD180" s="8">
        <f t="shared" si="15"/>
        <v>98</v>
      </c>
      <c r="AF180" s="152">
        <v>88.519000000000005</v>
      </c>
      <c r="AG180" s="152">
        <v>4.4021999999999997</v>
      </c>
    </row>
    <row r="181" spans="1:33" x14ac:dyDescent="0.25">
      <c r="A181" s="99">
        <f t="shared" si="16"/>
        <v>180</v>
      </c>
      <c r="B181" s="8">
        <v>1</v>
      </c>
      <c r="C181" s="8">
        <v>13.418699999999999</v>
      </c>
      <c r="D181" s="8">
        <v>5.3033999999999999</v>
      </c>
      <c r="E181" s="8">
        <v>0</v>
      </c>
      <c r="F181" s="8">
        <v>0</v>
      </c>
      <c r="G181" s="8">
        <v>1</v>
      </c>
      <c r="H181" s="8">
        <v>1</v>
      </c>
      <c r="I181" s="8">
        <v>0</v>
      </c>
      <c r="J181" s="6">
        <v>66</v>
      </c>
      <c r="K181" s="8">
        <v>1</v>
      </c>
      <c r="L181" s="7">
        <v>1.05</v>
      </c>
      <c r="M181" s="100">
        <v>0.95</v>
      </c>
      <c r="N181" s="5" t="s">
        <v>177</v>
      </c>
      <c r="O181" s="12">
        <v>103.67298333333333</v>
      </c>
      <c r="P181" s="12">
        <v>1.27305</v>
      </c>
      <c r="Q181" s="12">
        <f>(Q180+Q182)/2</f>
        <v>103.67314166666667</v>
      </c>
      <c r="R181" s="12">
        <f>(R180+R182)/2</f>
        <v>1.2718416666666665</v>
      </c>
      <c r="S181" s="149"/>
      <c r="T181" s="149">
        <v>1</v>
      </c>
      <c r="U181" s="151">
        <v>15</v>
      </c>
      <c r="V181" s="93">
        <f t="shared" si="13"/>
        <v>13.950000000000001</v>
      </c>
      <c r="W181" s="93">
        <f t="shared" si="14"/>
        <v>5.5133927848467295</v>
      </c>
      <c r="X181" s="93">
        <v>0.93</v>
      </c>
      <c r="Z181" s="8">
        <v>0</v>
      </c>
      <c r="AA181" s="8">
        <v>0</v>
      </c>
      <c r="AC181" s="151">
        <v>15</v>
      </c>
      <c r="AD181" s="8">
        <f t="shared" si="15"/>
        <v>14.7</v>
      </c>
      <c r="AF181" s="152">
        <v>13.418699999999999</v>
      </c>
      <c r="AG181" s="152">
        <v>5.3033999999999999</v>
      </c>
    </row>
    <row r="182" spans="1:33" x14ac:dyDescent="0.25">
      <c r="A182" s="99">
        <f t="shared" si="16"/>
        <v>181</v>
      </c>
      <c r="B182" s="8">
        <v>1</v>
      </c>
      <c r="C182" s="8">
        <v>11.709899999999999</v>
      </c>
      <c r="D182" s="8">
        <v>5.657</v>
      </c>
      <c r="E182" s="8">
        <v>0</v>
      </c>
      <c r="F182" s="8">
        <v>0</v>
      </c>
      <c r="G182" s="8">
        <v>1</v>
      </c>
      <c r="H182" s="8">
        <v>1</v>
      </c>
      <c r="I182" s="8">
        <v>0</v>
      </c>
      <c r="J182" s="6">
        <v>66</v>
      </c>
      <c r="K182" s="8">
        <v>1</v>
      </c>
      <c r="L182" s="7">
        <v>1.05</v>
      </c>
      <c r="M182" s="100">
        <v>0.95</v>
      </c>
      <c r="N182" s="5" t="s">
        <v>178</v>
      </c>
      <c r="O182" s="57"/>
      <c r="P182" s="58"/>
      <c r="Q182" s="12">
        <v>103.67404999999999</v>
      </c>
      <c r="R182" s="12">
        <v>1.2724833333333334</v>
      </c>
      <c r="S182" s="136" t="s">
        <v>936</v>
      </c>
      <c r="T182" s="136">
        <v>1</v>
      </c>
      <c r="U182" s="151">
        <v>15</v>
      </c>
      <c r="V182" s="93">
        <f t="shared" si="13"/>
        <v>13.506492628105425</v>
      </c>
      <c r="W182" s="93">
        <f t="shared" si="14"/>
        <v>6.5249258146689924</v>
      </c>
      <c r="X182" s="93">
        <f t="shared" si="18"/>
        <v>0.90043284187369499</v>
      </c>
      <c r="Z182" s="8">
        <v>12.420000140000001</v>
      </c>
      <c r="AA182" s="8">
        <v>5.9999998659999996</v>
      </c>
      <c r="AC182" s="151">
        <v>15</v>
      </c>
      <c r="AD182" s="8">
        <f t="shared" si="15"/>
        <v>14.7</v>
      </c>
      <c r="AF182" s="152">
        <v>11.709899999999999</v>
      </c>
      <c r="AG182" s="152">
        <v>5.657</v>
      </c>
    </row>
    <row r="183" spans="1:33" x14ac:dyDescent="0.25">
      <c r="A183" s="99">
        <f t="shared" si="16"/>
        <v>182</v>
      </c>
      <c r="B183" s="8">
        <v>1</v>
      </c>
      <c r="C183" s="8">
        <v>5.7355</v>
      </c>
      <c r="D183" s="8">
        <v>2.9114</v>
      </c>
      <c r="E183" s="8">
        <v>0</v>
      </c>
      <c r="F183" s="8">
        <v>0</v>
      </c>
      <c r="G183" s="8">
        <v>1</v>
      </c>
      <c r="H183" s="8">
        <v>1</v>
      </c>
      <c r="I183" s="8">
        <v>0</v>
      </c>
      <c r="J183" s="6">
        <v>22</v>
      </c>
      <c r="K183" s="8">
        <v>1</v>
      </c>
      <c r="L183" s="7">
        <v>1.05</v>
      </c>
      <c r="M183" s="100">
        <v>0.95</v>
      </c>
      <c r="N183" s="5" t="s">
        <v>179</v>
      </c>
      <c r="O183" s="57"/>
      <c r="P183" s="58"/>
      <c r="Q183" s="12">
        <v>103.67251666666667</v>
      </c>
      <c r="R183" s="12">
        <v>1.2664166666666667</v>
      </c>
      <c r="S183" s="133" t="s">
        <v>963</v>
      </c>
      <c r="T183" s="133">
        <v>4</v>
      </c>
      <c r="U183" s="151">
        <v>9</v>
      </c>
      <c r="V183" s="93">
        <f t="shared" si="13"/>
        <v>8.0252659273999623</v>
      </c>
      <c r="W183" s="93">
        <f t="shared" si="14"/>
        <v>4.0737092182080481</v>
      </c>
      <c r="X183" s="93">
        <f t="shared" si="18"/>
        <v>0.89169621415555134</v>
      </c>
      <c r="Z183" s="8">
        <v>9.8499998449999993</v>
      </c>
      <c r="AA183" s="8">
        <v>5.000000075</v>
      </c>
      <c r="AC183" s="151">
        <v>9</v>
      </c>
      <c r="AD183" s="8">
        <f t="shared" si="15"/>
        <v>8.82</v>
      </c>
      <c r="AF183" s="152">
        <v>5.7355</v>
      </c>
      <c r="AG183" s="152">
        <v>2.9114</v>
      </c>
    </row>
    <row r="184" spans="1:33" x14ac:dyDescent="0.25">
      <c r="A184" s="99">
        <f t="shared" si="16"/>
        <v>183</v>
      </c>
      <c r="B184" s="8">
        <v>1</v>
      </c>
      <c r="C184" s="8">
        <v>7.0891000000000002</v>
      </c>
      <c r="D184" s="8">
        <v>3.8262999999999998</v>
      </c>
      <c r="E184" s="8">
        <v>0</v>
      </c>
      <c r="F184" s="8">
        <v>0</v>
      </c>
      <c r="G184" s="8">
        <v>1</v>
      </c>
      <c r="H184" s="8">
        <v>1</v>
      </c>
      <c r="I184" s="8">
        <v>0</v>
      </c>
      <c r="J184" s="6">
        <v>22</v>
      </c>
      <c r="K184" s="8">
        <v>1</v>
      </c>
      <c r="L184" s="7">
        <v>1.05</v>
      </c>
      <c r="M184" s="100">
        <v>0.95</v>
      </c>
      <c r="N184" s="5" t="s">
        <v>180</v>
      </c>
      <c r="O184" s="57"/>
      <c r="P184" s="58"/>
      <c r="Q184" s="12">
        <v>103.67205</v>
      </c>
      <c r="R184" s="12">
        <v>1.2626999999999999</v>
      </c>
      <c r="S184" s="149"/>
      <c r="T184" s="149">
        <v>1</v>
      </c>
      <c r="U184" s="151">
        <v>9</v>
      </c>
      <c r="V184" s="93">
        <f t="shared" si="13"/>
        <v>7.92</v>
      </c>
      <c r="W184" s="93">
        <f t="shared" si="14"/>
        <v>4.2747631513336506</v>
      </c>
      <c r="X184" s="93">
        <v>0.88</v>
      </c>
      <c r="Z184" s="8">
        <v>0</v>
      </c>
      <c r="AA184" s="8">
        <v>0</v>
      </c>
      <c r="AC184" s="151">
        <v>9</v>
      </c>
      <c r="AD184" s="8">
        <f t="shared" si="15"/>
        <v>8.82</v>
      </c>
      <c r="AF184" s="152">
        <v>7.0891000000000002</v>
      </c>
      <c r="AG184" s="152">
        <v>3.8262999999999998</v>
      </c>
    </row>
    <row r="185" spans="1:33" x14ac:dyDescent="0.25">
      <c r="A185" s="99">
        <f t="shared" si="16"/>
        <v>184</v>
      </c>
      <c r="B185" s="8">
        <v>1</v>
      </c>
      <c r="C185" s="8">
        <v>0</v>
      </c>
      <c r="D185" s="8">
        <v>0</v>
      </c>
      <c r="E185" s="8">
        <v>0</v>
      </c>
      <c r="F185" s="8">
        <v>0</v>
      </c>
      <c r="G185" s="8">
        <v>1</v>
      </c>
      <c r="H185" s="8">
        <v>1</v>
      </c>
      <c r="I185" s="8">
        <v>0</v>
      </c>
      <c r="J185" s="6">
        <v>22</v>
      </c>
      <c r="K185" s="8">
        <v>1</v>
      </c>
      <c r="L185" s="7">
        <v>1.05</v>
      </c>
      <c r="M185" s="100">
        <v>0.95</v>
      </c>
      <c r="N185" s="5" t="s">
        <v>181</v>
      </c>
      <c r="O185" s="57"/>
      <c r="P185" s="58"/>
      <c r="Q185" s="12">
        <v>103.67108333333333</v>
      </c>
      <c r="R185" s="12">
        <v>1.2619833333333332</v>
      </c>
      <c r="S185" s="139"/>
      <c r="T185" s="139">
        <v>0</v>
      </c>
      <c r="U185" s="151">
        <v>0</v>
      </c>
      <c r="V185" s="93">
        <f t="shared" si="13"/>
        <v>0</v>
      </c>
      <c r="W185" s="93">
        <f t="shared" si="14"/>
        <v>0</v>
      </c>
      <c r="X185" s="93">
        <f t="shared" si="18"/>
        <v>0</v>
      </c>
      <c r="Y185" s="17"/>
      <c r="Z185" s="8">
        <v>0</v>
      </c>
      <c r="AA185" s="8">
        <v>0</v>
      </c>
      <c r="AC185" s="151">
        <v>0</v>
      </c>
      <c r="AD185" s="8">
        <f t="shared" si="15"/>
        <v>0</v>
      </c>
      <c r="AF185" s="152">
        <v>0</v>
      </c>
      <c r="AG185" s="152">
        <v>0</v>
      </c>
    </row>
    <row r="186" spans="1:33" x14ac:dyDescent="0.25">
      <c r="A186" s="99">
        <f t="shared" si="16"/>
        <v>185</v>
      </c>
      <c r="B186" s="8">
        <v>1</v>
      </c>
      <c r="C186" s="8">
        <v>247.49019999999999</v>
      </c>
      <c r="D186" s="8">
        <v>13.1662</v>
      </c>
      <c r="E186" s="8">
        <v>0</v>
      </c>
      <c r="F186" s="8">
        <v>0</v>
      </c>
      <c r="G186" s="8">
        <v>1</v>
      </c>
      <c r="H186" s="8">
        <v>1</v>
      </c>
      <c r="I186" s="8">
        <v>0</v>
      </c>
      <c r="J186" s="104">
        <v>66</v>
      </c>
      <c r="K186" s="8">
        <v>1</v>
      </c>
      <c r="L186" s="7">
        <v>1.05</v>
      </c>
      <c r="M186" s="100">
        <v>0.95</v>
      </c>
      <c r="N186" s="5" t="s">
        <v>171</v>
      </c>
      <c r="O186" s="57"/>
      <c r="P186" s="58"/>
      <c r="Q186" s="12">
        <v>103.6673</v>
      </c>
      <c r="R186" s="12">
        <v>1.2661166666666666</v>
      </c>
      <c r="S186" s="136" t="s">
        <v>941</v>
      </c>
      <c r="T186" s="136">
        <v>1</v>
      </c>
      <c r="U186" s="151">
        <v>250</v>
      </c>
      <c r="V186" s="93">
        <f t="shared" ref="V186:V208" si="19">U186*X186</f>
        <v>249.64698410540973</v>
      </c>
      <c r="W186" s="93">
        <f t="shared" ref="W186:W209" si="20">IF(X186&gt;0,SQRT((V186/X186)^2-V186^2), 0)</f>
        <v>13.280938486165095</v>
      </c>
      <c r="X186" s="93">
        <f t="shared" si="18"/>
        <v>0.9985879364216389</v>
      </c>
      <c r="Z186" s="8">
        <v>140.97998140000001</v>
      </c>
      <c r="AA186" s="8">
        <v>7.5000002979999998</v>
      </c>
      <c r="AC186" s="151">
        <v>250</v>
      </c>
      <c r="AD186" s="8">
        <f t="shared" si="15"/>
        <v>245</v>
      </c>
      <c r="AF186" s="152">
        <v>247.49019999999999</v>
      </c>
      <c r="AG186" s="152">
        <v>13.1662</v>
      </c>
    </row>
    <row r="187" spans="1:33" x14ac:dyDescent="0.25">
      <c r="A187" s="99">
        <f t="shared" si="16"/>
        <v>186</v>
      </c>
      <c r="B187" s="8">
        <v>1</v>
      </c>
      <c r="C187" s="8">
        <v>0</v>
      </c>
      <c r="D187" s="8">
        <v>0</v>
      </c>
      <c r="E187" s="8">
        <v>0</v>
      </c>
      <c r="F187" s="8">
        <v>0</v>
      </c>
      <c r="G187" s="8">
        <v>1</v>
      </c>
      <c r="H187" s="8">
        <v>1</v>
      </c>
      <c r="I187" s="8">
        <v>0</v>
      </c>
      <c r="J187" s="6">
        <v>22</v>
      </c>
      <c r="K187" s="8">
        <v>1</v>
      </c>
      <c r="L187" s="7">
        <v>1.05</v>
      </c>
      <c r="M187" s="100">
        <v>0.95</v>
      </c>
      <c r="N187" s="5" t="s">
        <v>185</v>
      </c>
      <c r="O187" s="57"/>
      <c r="P187" s="58"/>
      <c r="Q187" s="12">
        <v>103.66883333333334</v>
      </c>
      <c r="R187" s="12">
        <v>1.2640166666666666</v>
      </c>
      <c r="S187" s="139"/>
      <c r="T187" s="139">
        <v>0</v>
      </c>
      <c r="U187" s="151">
        <v>0</v>
      </c>
      <c r="V187" s="93">
        <f t="shared" si="19"/>
        <v>0</v>
      </c>
      <c r="W187" s="93">
        <f t="shared" si="20"/>
        <v>0</v>
      </c>
      <c r="X187" s="93">
        <f t="shared" si="18"/>
        <v>0</v>
      </c>
      <c r="Z187" s="8">
        <v>0</v>
      </c>
      <c r="AA187" s="8">
        <v>0</v>
      </c>
      <c r="AC187" s="151">
        <v>0</v>
      </c>
      <c r="AD187" s="8">
        <f t="shared" si="15"/>
        <v>0</v>
      </c>
      <c r="AF187" s="152">
        <v>0</v>
      </c>
      <c r="AG187" s="152">
        <v>0</v>
      </c>
    </row>
    <row r="188" spans="1:33" x14ac:dyDescent="0.25">
      <c r="A188" s="99">
        <f t="shared" si="16"/>
        <v>187</v>
      </c>
      <c r="B188" s="8">
        <v>1</v>
      </c>
      <c r="C188" s="8">
        <v>0</v>
      </c>
      <c r="D188" s="8">
        <v>0</v>
      </c>
      <c r="E188" s="8">
        <v>0</v>
      </c>
      <c r="F188" s="8">
        <v>0</v>
      </c>
      <c r="G188" s="8">
        <v>1</v>
      </c>
      <c r="H188" s="8">
        <v>1</v>
      </c>
      <c r="I188" s="8">
        <v>0</v>
      </c>
      <c r="J188" s="6">
        <v>22</v>
      </c>
      <c r="K188" s="8">
        <v>1</v>
      </c>
      <c r="L188" s="7">
        <v>1.05</v>
      </c>
      <c r="M188" s="100">
        <v>0.95</v>
      </c>
      <c r="N188" s="5" t="s">
        <v>186</v>
      </c>
      <c r="O188" s="57"/>
      <c r="P188" s="58"/>
      <c r="Q188" s="12">
        <v>103.67125</v>
      </c>
      <c r="R188" s="12">
        <v>1.2602166666666665</v>
      </c>
      <c r="S188" s="139"/>
      <c r="T188" s="139">
        <v>0</v>
      </c>
      <c r="U188" s="151">
        <v>0</v>
      </c>
      <c r="V188" s="93">
        <f t="shared" si="19"/>
        <v>0</v>
      </c>
      <c r="W188" s="93">
        <f t="shared" si="20"/>
        <v>0</v>
      </c>
      <c r="X188" s="93">
        <f t="shared" si="18"/>
        <v>0</v>
      </c>
      <c r="Z188" s="8">
        <v>0</v>
      </c>
      <c r="AA188" s="8">
        <v>0</v>
      </c>
      <c r="AC188" s="151">
        <v>0</v>
      </c>
      <c r="AD188" s="8">
        <f t="shared" si="15"/>
        <v>0</v>
      </c>
      <c r="AF188" s="152">
        <v>0</v>
      </c>
      <c r="AG188" s="152">
        <v>0</v>
      </c>
    </row>
    <row r="189" spans="1:33" x14ac:dyDescent="0.25">
      <c r="A189" s="99">
        <f t="shared" si="16"/>
        <v>188</v>
      </c>
      <c r="B189" s="8">
        <v>1</v>
      </c>
      <c r="C189" s="8">
        <v>12.479900000000001</v>
      </c>
      <c r="D189" s="8">
        <v>7.0727000000000002</v>
      </c>
      <c r="E189" s="8">
        <v>0</v>
      </c>
      <c r="F189" s="8">
        <v>0</v>
      </c>
      <c r="G189" s="8">
        <v>1</v>
      </c>
      <c r="H189" s="8">
        <v>1</v>
      </c>
      <c r="I189" s="8">
        <v>0</v>
      </c>
      <c r="J189" s="6">
        <v>22</v>
      </c>
      <c r="K189" s="8">
        <v>1</v>
      </c>
      <c r="L189" s="7">
        <v>1.05</v>
      </c>
      <c r="M189" s="100">
        <v>0.95</v>
      </c>
      <c r="N189" s="5" t="s">
        <v>187</v>
      </c>
      <c r="O189" s="57"/>
      <c r="P189" s="58"/>
      <c r="Q189" s="12">
        <v>103.67243333333333</v>
      </c>
      <c r="R189" s="12">
        <v>1.2576499999999999</v>
      </c>
      <c r="S189" s="149"/>
      <c r="T189" s="149">
        <v>1</v>
      </c>
      <c r="U189" s="151">
        <v>15</v>
      </c>
      <c r="V189" s="93">
        <f t="shared" si="19"/>
        <v>13.05</v>
      </c>
      <c r="W189" s="93">
        <f t="shared" si="20"/>
        <v>7.3957758213726335</v>
      </c>
      <c r="X189" s="93">
        <v>0.87</v>
      </c>
      <c r="Z189" s="8">
        <v>0</v>
      </c>
      <c r="AA189" s="8">
        <v>0</v>
      </c>
      <c r="AC189" s="151">
        <v>15</v>
      </c>
      <c r="AD189" s="8">
        <f t="shared" si="15"/>
        <v>14.7</v>
      </c>
      <c r="AF189" s="152">
        <v>12.479900000000001</v>
      </c>
      <c r="AG189" s="152">
        <v>7.0727000000000002</v>
      </c>
    </row>
    <row r="190" spans="1:33" x14ac:dyDescent="0.25">
      <c r="A190" s="99">
        <f t="shared" si="16"/>
        <v>189</v>
      </c>
      <c r="B190" s="8">
        <v>1</v>
      </c>
      <c r="C190" s="8">
        <v>8.5566999999999993</v>
      </c>
      <c r="D190" s="8">
        <v>4.0362</v>
      </c>
      <c r="E190" s="8">
        <v>0</v>
      </c>
      <c r="F190" s="8">
        <v>0</v>
      </c>
      <c r="G190" s="8">
        <v>1</v>
      </c>
      <c r="H190" s="8">
        <v>1</v>
      </c>
      <c r="I190" s="8">
        <v>0</v>
      </c>
      <c r="J190" s="6">
        <v>22</v>
      </c>
      <c r="K190" s="8">
        <v>1</v>
      </c>
      <c r="L190" s="7">
        <v>1.05</v>
      </c>
      <c r="M190" s="100">
        <v>0.95</v>
      </c>
      <c r="N190" s="5" t="s">
        <v>199</v>
      </c>
      <c r="O190" s="57"/>
      <c r="P190" s="58"/>
      <c r="Q190" s="12">
        <v>103.66913333333333</v>
      </c>
      <c r="R190" s="12">
        <v>1.2606666666666666</v>
      </c>
      <c r="S190" s="136" t="s">
        <v>962</v>
      </c>
      <c r="T190" s="136">
        <v>1</v>
      </c>
      <c r="U190" s="151">
        <v>11</v>
      </c>
      <c r="V190" s="93">
        <f t="shared" si="19"/>
        <v>9.9487382066547632</v>
      </c>
      <c r="W190" s="93">
        <f t="shared" si="20"/>
        <v>4.6928251720523066</v>
      </c>
      <c r="X190" s="93">
        <f t="shared" si="18"/>
        <v>0.90443074605952389</v>
      </c>
      <c r="Z190" s="8">
        <v>5.2999999369999999</v>
      </c>
      <c r="AA190" s="8">
        <v>2.500000037</v>
      </c>
      <c r="AC190" s="151">
        <v>11</v>
      </c>
      <c r="AD190" s="8">
        <f t="shared" si="15"/>
        <v>10.78</v>
      </c>
      <c r="AF190" s="152">
        <v>8.5566999999999993</v>
      </c>
      <c r="AG190" s="152">
        <v>4.0362</v>
      </c>
    </row>
    <row r="191" spans="1:33" x14ac:dyDescent="0.25">
      <c r="A191" s="99">
        <f t="shared" si="16"/>
        <v>190</v>
      </c>
      <c r="B191" s="8">
        <v>1</v>
      </c>
      <c r="C191" s="8">
        <v>105.3845</v>
      </c>
      <c r="D191" s="8">
        <v>51.852200000000003</v>
      </c>
      <c r="E191" s="8">
        <v>0</v>
      </c>
      <c r="F191" s="8">
        <v>0</v>
      </c>
      <c r="G191" s="8">
        <v>1</v>
      </c>
      <c r="H191" s="8">
        <v>1</v>
      </c>
      <c r="I191" s="8">
        <v>0</v>
      </c>
      <c r="J191" s="104">
        <v>66</v>
      </c>
      <c r="K191" s="8">
        <v>1</v>
      </c>
      <c r="L191" s="7">
        <v>1.05</v>
      </c>
      <c r="M191" s="100">
        <v>0.95</v>
      </c>
      <c r="N191" s="5" t="s">
        <v>206</v>
      </c>
      <c r="O191" s="57"/>
      <c r="P191" s="58"/>
      <c r="Q191" s="12">
        <v>103.66696666666667</v>
      </c>
      <c r="R191" s="12">
        <v>1.2589999999999999</v>
      </c>
      <c r="S191" s="136" t="s">
        <v>958</v>
      </c>
      <c r="T191" s="136">
        <v>1</v>
      </c>
      <c r="U191" s="151">
        <v>120</v>
      </c>
      <c r="V191" s="93">
        <f t="shared" si="19"/>
        <v>107.67238155348586</v>
      </c>
      <c r="W191" s="93">
        <f t="shared" si="20"/>
        <v>52.977903418317318</v>
      </c>
      <c r="X191" s="93">
        <f t="shared" si="18"/>
        <v>0.89726984627904882</v>
      </c>
      <c r="Z191" s="8">
        <v>50.809997320000001</v>
      </c>
      <c r="AA191" s="8">
        <v>25</v>
      </c>
      <c r="AC191" s="151">
        <v>120</v>
      </c>
      <c r="AD191" s="8">
        <f t="shared" si="15"/>
        <v>117.6</v>
      </c>
      <c r="AF191" s="152">
        <v>105.3845</v>
      </c>
      <c r="AG191" s="152">
        <v>51.852200000000003</v>
      </c>
    </row>
    <row r="192" spans="1:33" x14ac:dyDescent="0.25">
      <c r="A192" s="99">
        <f t="shared" si="16"/>
        <v>191</v>
      </c>
      <c r="B192" s="8">
        <v>1</v>
      </c>
      <c r="C192" s="8">
        <v>4.3532000000000002</v>
      </c>
      <c r="D192" s="8">
        <v>2.1667000000000001</v>
      </c>
      <c r="E192" s="8">
        <v>0</v>
      </c>
      <c r="F192" s="8">
        <v>0</v>
      </c>
      <c r="G192" s="8">
        <v>1</v>
      </c>
      <c r="H192" s="8">
        <v>1</v>
      </c>
      <c r="I192" s="8">
        <v>0</v>
      </c>
      <c r="J192" s="6">
        <v>22</v>
      </c>
      <c r="K192" s="8">
        <v>1</v>
      </c>
      <c r="L192" s="7">
        <v>1.05</v>
      </c>
      <c r="M192" s="100">
        <v>0.95</v>
      </c>
      <c r="N192" s="5" t="s">
        <v>131</v>
      </c>
      <c r="O192" s="57"/>
      <c r="P192" s="58"/>
      <c r="Q192" s="12">
        <v>103.66845000000001</v>
      </c>
      <c r="R192" s="12">
        <v>1.2582666666666666</v>
      </c>
      <c r="S192" s="134" t="s">
        <v>928</v>
      </c>
      <c r="T192" s="134">
        <v>2</v>
      </c>
      <c r="U192" s="151">
        <v>5</v>
      </c>
      <c r="V192" s="93">
        <f t="shared" si="19"/>
        <v>4.4762004305568386</v>
      </c>
      <c r="W192" s="93">
        <f t="shared" si="20"/>
        <v>2.2279204890396742</v>
      </c>
      <c r="X192" s="93">
        <f t="shared" si="18"/>
        <v>0.89524008611136763</v>
      </c>
      <c r="Z192" s="8">
        <v>6.6299997270000004</v>
      </c>
      <c r="AA192" s="8">
        <v>3.2999999820000001</v>
      </c>
      <c r="AC192" s="151">
        <v>5</v>
      </c>
      <c r="AD192" s="8">
        <f t="shared" si="15"/>
        <v>4.9000000000000004</v>
      </c>
      <c r="AF192" s="152">
        <v>4.3532000000000002</v>
      </c>
      <c r="AG192" s="152">
        <v>2.1667000000000001</v>
      </c>
    </row>
    <row r="193" spans="1:33" x14ac:dyDescent="0.25">
      <c r="A193" s="99">
        <f t="shared" si="16"/>
        <v>192</v>
      </c>
      <c r="B193" s="8">
        <v>1</v>
      </c>
      <c r="C193" s="8">
        <v>5.0505000000000004</v>
      </c>
      <c r="D193" s="8">
        <v>1.66</v>
      </c>
      <c r="E193" s="8">
        <v>0</v>
      </c>
      <c r="F193" s="8">
        <v>0</v>
      </c>
      <c r="G193" s="8">
        <v>1</v>
      </c>
      <c r="H193" s="8">
        <v>1</v>
      </c>
      <c r="I193" s="8">
        <v>0</v>
      </c>
      <c r="J193" s="6">
        <v>22</v>
      </c>
      <c r="K193" s="8">
        <v>1</v>
      </c>
      <c r="L193" s="7">
        <v>1.05</v>
      </c>
      <c r="M193" s="100">
        <v>0.95</v>
      </c>
      <c r="N193" s="5" t="s">
        <v>200</v>
      </c>
      <c r="O193" s="57"/>
      <c r="P193" s="58"/>
      <c r="Q193" s="12">
        <v>103.66773333333333</v>
      </c>
      <c r="R193" s="12">
        <v>1.2562666666666666</v>
      </c>
      <c r="S193" s="149"/>
      <c r="T193" s="149">
        <v>1</v>
      </c>
      <c r="U193" s="151">
        <v>6</v>
      </c>
      <c r="V193" s="93">
        <f t="shared" si="19"/>
        <v>5.6999999999999993</v>
      </c>
      <c r="W193" s="93">
        <f t="shared" si="20"/>
        <v>1.8734993995195171</v>
      </c>
      <c r="X193" s="93">
        <v>0.95</v>
      </c>
      <c r="Z193" s="8">
        <v>0</v>
      </c>
      <c r="AA193" s="8">
        <v>0</v>
      </c>
      <c r="AC193" s="151">
        <v>6</v>
      </c>
      <c r="AD193" s="8">
        <f t="shared" si="15"/>
        <v>5.88</v>
      </c>
      <c r="AF193" s="152">
        <v>5.0505000000000004</v>
      </c>
      <c r="AG193" s="152">
        <v>1.66</v>
      </c>
    </row>
    <row r="194" spans="1:33" x14ac:dyDescent="0.25">
      <c r="A194" s="99">
        <f t="shared" si="16"/>
        <v>193</v>
      </c>
      <c r="B194" s="8">
        <v>1</v>
      </c>
      <c r="C194" s="8">
        <v>5.0454999999999997</v>
      </c>
      <c r="D194" s="8">
        <v>1.6584000000000001</v>
      </c>
      <c r="E194" s="8">
        <v>0</v>
      </c>
      <c r="F194" s="8">
        <v>0</v>
      </c>
      <c r="G194" s="8">
        <v>1</v>
      </c>
      <c r="H194" s="8">
        <v>1</v>
      </c>
      <c r="I194" s="8">
        <v>0</v>
      </c>
      <c r="J194" s="6">
        <v>22</v>
      </c>
      <c r="K194" s="8">
        <v>1</v>
      </c>
      <c r="L194" s="7">
        <v>1.05</v>
      </c>
      <c r="M194" s="100">
        <v>0.95</v>
      </c>
      <c r="N194" s="5" t="s">
        <v>201</v>
      </c>
      <c r="O194" s="57"/>
      <c r="P194" s="58"/>
      <c r="Q194" s="12">
        <v>103.66934999999999</v>
      </c>
      <c r="R194" s="12">
        <v>1.2562166666666665</v>
      </c>
      <c r="S194" s="149"/>
      <c r="T194" s="149">
        <v>1</v>
      </c>
      <c r="U194" s="151">
        <v>6</v>
      </c>
      <c r="V194" s="93">
        <f t="shared" si="19"/>
        <v>5.6999999999999993</v>
      </c>
      <c r="W194" s="93">
        <f t="shared" si="20"/>
        <v>1.8734993995195171</v>
      </c>
      <c r="X194" s="93">
        <v>0.95</v>
      </c>
      <c r="Z194" s="8">
        <v>0</v>
      </c>
      <c r="AA194" s="8">
        <v>0</v>
      </c>
      <c r="AC194" s="151">
        <v>6</v>
      </c>
      <c r="AD194" s="8">
        <f t="shared" si="15"/>
        <v>5.88</v>
      </c>
      <c r="AF194" s="152">
        <v>5.0454999999999997</v>
      </c>
      <c r="AG194" s="152">
        <v>1.6584000000000001</v>
      </c>
    </row>
    <row r="195" spans="1:33" x14ac:dyDescent="0.25">
      <c r="A195" s="99">
        <f t="shared" si="16"/>
        <v>194</v>
      </c>
      <c r="B195" s="8">
        <v>1</v>
      </c>
      <c r="C195" s="8">
        <v>0</v>
      </c>
      <c r="D195" s="8">
        <v>0</v>
      </c>
      <c r="E195" s="8">
        <v>0</v>
      </c>
      <c r="F195" s="8">
        <v>0</v>
      </c>
      <c r="G195" s="8">
        <v>1</v>
      </c>
      <c r="H195" s="8">
        <v>1</v>
      </c>
      <c r="I195" s="8">
        <v>0</v>
      </c>
      <c r="J195" s="6">
        <v>22</v>
      </c>
      <c r="K195" s="8">
        <v>1</v>
      </c>
      <c r="L195" s="7">
        <v>1.05</v>
      </c>
      <c r="M195" s="100">
        <v>0.95</v>
      </c>
      <c r="N195" s="5" t="s">
        <v>202</v>
      </c>
      <c r="O195" s="57"/>
      <c r="P195" s="58"/>
      <c r="Q195" s="12">
        <v>103.66901666666666</v>
      </c>
      <c r="R195" s="12">
        <v>1.2537499999999999</v>
      </c>
      <c r="S195" s="139"/>
      <c r="T195" s="139">
        <v>0</v>
      </c>
      <c r="U195" s="151">
        <v>0</v>
      </c>
      <c r="V195" s="93">
        <f t="shared" si="19"/>
        <v>0</v>
      </c>
      <c r="W195" s="93">
        <f t="shared" si="20"/>
        <v>0</v>
      </c>
      <c r="X195" s="93">
        <f t="shared" ref="X195:X207" si="21">IF(C195&gt;0, C195/SQRT(C195*C195+D195*D195), 0)</f>
        <v>0</v>
      </c>
      <c r="Z195" s="8">
        <v>0</v>
      </c>
      <c r="AA195" s="8">
        <v>0</v>
      </c>
      <c r="AC195" s="151">
        <v>0</v>
      </c>
      <c r="AD195" s="8">
        <f t="shared" ref="AD195:AD209" si="22">AC195*0.98</f>
        <v>0</v>
      </c>
      <c r="AF195" s="152">
        <v>0</v>
      </c>
      <c r="AG195" s="152">
        <v>0</v>
      </c>
    </row>
    <row r="196" spans="1:33" x14ac:dyDescent="0.25">
      <c r="A196" s="99">
        <f t="shared" ref="A196:A209" si="23">A195+1</f>
        <v>195</v>
      </c>
      <c r="B196" s="8">
        <v>1</v>
      </c>
      <c r="C196" s="8">
        <v>10.222</v>
      </c>
      <c r="D196" s="8">
        <v>4.8353999999999999</v>
      </c>
      <c r="E196" s="8">
        <v>0</v>
      </c>
      <c r="F196" s="8">
        <v>0</v>
      </c>
      <c r="G196" s="8">
        <v>1</v>
      </c>
      <c r="H196" s="8">
        <v>1</v>
      </c>
      <c r="I196" s="8">
        <v>0</v>
      </c>
      <c r="J196" s="6">
        <v>22</v>
      </c>
      <c r="K196" s="8">
        <v>1</v>
      </c>
      <c r="L196" s="7">
        <v>1.05</v>
      </c>
      <c r="M196" s="100">
        <v>0.95</v>
      </c>
      <c r="N196" s="5" t="s">
        <v>147</v>
      </c>
      <c r="O196" s="57"/>
      <c r="P196" s="58"/>
      <c r="Q196" s="12">
        <v>103.68108333333333</v>
      </c>
      <c r="R196" s="12">
        <v>1.2616791666666667</v>
      </c>
      <c r="S196" s="133" t="s">
        <v>953</v>
      </c>
      <c r="T196" s="133">
        <v>4</v>
      </c>
      <c r="U196" s="151">
        <v>18</v>
      </c>
      <c r="V196" s="93">
        <f t="shared" si="19"/>
        <v>16.271343320040138</v>
      </c>
      <c r="W196" s="93">
        <f t="shared" si="20"/>
        <v>7.6969725581805992</v>
      </c>
      <c r="X196" s="93">
        <f t="shared" si="21"/>
        <v>0.90396351778000761</v>
      </c>
      <c r="Z196" s="8">
        <v>10.570000110000001</v>
      </c>
      <c r="AA196" s="8">
        <v>5.000000075</v>
      </c>
      <c r="AC196" s="151">
        <v>18</v>
      </c>
      <c r="AD196" s="8">
        <f t="shared" si="22"/>
        <v>17.64</v>
      </c>
      <c r="AF196" s="152">
        <v>10.222</v>
      </c>
      <c r="AG196" s="152">
        <v>4.8353999999999999</v>
      </c>
    </row>
    <row r="197" spans="1:33" x14ac:dyDescent="0.25">
      <c r="A197" s="99">
        <f t="shared" si="23"/>
        <v>196</v>
      </c>
      <c r="B197" s="8">
        <v>1</v>
      </c>
      <c r="C197" s="8">
        <v>0</v>
      </c>
      <c r="D197" s="8">
        <v>0</v>
      </c>
      <c r="E197" s="8">
        <v>0</v>
      </c>
      <c r="F197" s="8">
        <v>0</v>
      </c>
      <c r="G197" s="8">
        <v>1</v>
      </c>
      <c r="H197" s="8">
        <v>1</v>
      </c>
      <c r="I197" s="8">
        <v>0</v>
      </c>
      <c r="J197" s="6">
        <v>22</v>
      </c>
      <c r="K197" s="8">
        <v>1</v>
      </c>
      <c r="L197" s="7">
        <v>1.05</v>
      </c>
      <c r="M197" s="100">
        <v>0.95</v>
      </c>
      <c r="N197" s="5" t="s">
        <v>203</v>
      </c>
      <c r="O197" s="57"/>
      <c r="P197" s="58"/>
      <c r="Q197" s="12">
        <v>103.68075</v>
      </c>
      <c r="R197" s="12">
        <v>1.2535499999999999</v>
      </c>
      <c r="S197" s="139"/>
      <c r="T197" s="139">
        <v>0</v>
      </c>
      <c r="U197" s="151">
        <v>0</v>
      </c>
      <c r="V197" s="93">
        <f t="shared" si="19"/>
        <v>0</v>
      </c>
      <c r="W197" s="93">
        <f t="shared" si="20"/>
        <v>0</v>
      </c>
      <c r="X197" s="93">
        <f t="shared" si="21"/>
        <v>0</v>
      </c>
      <c r="Z197" s="8">
        <v>0</v>
      </c>
      <c r="AA197" s="8">
        <v>0</v>
      </c>
      <c r="AC197" s="151">
        <v>0</v>
      </c>
      <c r="AD197" s="8">
        <f t="shared" si="22"/>
        <v>0</v>
      </c>
      <c r="AF197" s="152">
        <v>0</v>
      </c>
      <c r="AG197" s="152">
        <v>0</v>
      </c>
    </row>
    <row r="198" spans="1:33" x14ac:dyDescent="0.25">
      <c r="A198" s="99">
        <f t="shared" si="23"/>
        <v>197</v>
      </c>
      <c r="B198" s="8">
        <v>1</v>
      </c>
      <c r="C198" s="8">
        <v>0</v>
      </c>
      <c r="D198" s="8">
        <v>0</v>
      </c>
      <c r="E198" s="8">
        <v>0</v>
      </c>
      <c r="F198" s="8">
        <v>0</v>
      </c>
      <c r="G198" s="8">
        <v>1</v>
      </c>
      <c r="H198" s="8">
        <v>1</v>
      </c>
      <c r="I198" s="8">
        <v>0</v>
      </c>
      <c r="J198" s="6">
        <v>22</v>
      </c>
      <c r="K198" s="8">
        <v>1</v>
      </c>
      <c r="L198" s="7">
        <v>1.05</v>
      </c>
      <c r="M198" s="100">
        <v>0.95</v>
      </c>
      <c r="N198" s="5" t="s">
        <v>205</v>
      </c>
      <c r="O198" s="57"/>
      <c r="P198" s="58"/>
      <c r="Q198" s="12">
        <v>103.68095</v>
      </c>
      <c r="R198" s="12">
        <v>1.2547666666666666</v>
      </c>
      <c r="S198" s="139"/>
      <c r="T198" s="139">
        <v>0</v>
      </c>
      <c r="U198" s="151">
        <v>0</v>
      </c>
      <c r="V198" s="93">
        <f t="shared" si="19"/>
        <v>0</v>
      </c>
      <c r="W198" s="93">
        <f t="shared" si="20"/>
        <v>0</v>
      </c>
      <c r="X198" s="93">
        <f t="shared" si="21"/>
        <v>0</v>
      </c>
      <c r="Z198" s="8">
        <v>0</v>
      </c>
      <c r="AA198" s="8">
        <v>0</v>
      </c>
      <c r="AC198" s="151">
        <v>0</v>
      </c>
      <c r="AD198" s="8">
        <f t="shared" si="22"/>
        <v>0</v>
      </c>
      <c r="AF198" s="152">
        <v>0</v>
      </c>
      <c r="AG198" s="152">
        <v>0</v>
      </c>
    </row>
    <row r="199" spans="1:33" x14ac:dyDescent="0.25">
      <c r="A199" s="99">
        <f t="shared" si="23"/>
        <v>198</v>
      </c>
      <c r="B199" s="8">
        <v>1</v>
      </c>
      <c r="C199" s="8">
        <v>6.2827999999999999</v>
      </c>
      <c r="D199" s="8">
        <v>3.1265000000000001</v>
      </c>
      <c r="E199" s="8">
        <v>0</v>
      </c>
      <c r="F199" s="8">
        <v>0</v>
      </c>
      <c r="G199" s="8">
        <v>1</v>
      </c>
      <c r="H199" s="8">
        <v>1</v>
      </c>
      <c r="I199" s="8">
        <v>0</v>
      </c>
      <c r="J199" s="6">
        <v>22</v>
      </c>
      <c r="K199" s="8">
        <v>1</v>
      </c>
      <c r="L199" s="7">
        <v>1.05</v>
      </c>
      <c r="M199" s="100">
        <v>0.95</v>
      </c>
      <c r="N199" s="5" t="s">
        <v>211</v>
      </c>
      <c r="O199" s="57"/>
      <c r="P199" s="58"/>
      <c r="Q199" s="12">
        <v>103.67961666666666</v>
      </c>
      <c r="R199" s="12">
        <v>1.25695</v>
      </c>
      <c r="S199" s="133" t="s">
        <v>953</v>
      </c>
      <c r="T199" s="133">
        <v>4</v>
      </c>
      <c r="U199" s="151">
        <v>8</v>
      </c>
      <c r="V199" s="93">
        <f t="shared" si="19"/>
        <v>7.1621988422557168</v>
      </c>
      <c r="W199" s="93">
        <f t="shared" si="20"/>
        <v>3.564113879211896</v>
      </c>
      <c r="X199" s="93">
        <f t="shared" si="21"/>
        <v>0.8952748552819646</v>
      </c>
      <c r="Z199" s="8">
        <v>4.2199999090000002</v>
      </c>
      <c r="AA199" s="8">
        <v>2.099999972</v>
      </c>
      <c r="AC199" s="151">
        <v>8</v>
      </c>
      <c r="AD199" s="8">
        <f t="shared" si="22"/>
        <v>7.84</v>
      </c>
      <c r="AF199" s="152">
        <v>6.2827999999999999</v>
      </c>
      <c r="AG199" s="152">
        <v>3.1265000000000001</v>
      </c>
    </row>
    <row r="200" spans="1:33" x14ac:dyDescent="0.25">
      <c r="A200" s="99">
        <f t="shared" si="23"/>
        <v>199</v>
      </c>
      <c r="B200" s="8">
        <v>1</v>
      </c>
      <c r="C200" s="8">
        <v>0</v>
      </c>
      <c r="D200" s="8">
        <v>0</v>
      </c>
      <c r="E200" s="8">
        <v>0</v>
      </c>
      <c r="F200" s="8">
        <v>0</v>
      </c>
      <c r="G200" s="8">
        <v>1</v>
      </c>
      <c r="H200" s="8">
        <v>1</v>
      </c>
      <c r="I200" s="8">
        <v>0</v>
      </c>
      <c r="J200" s="6">
        <v>22</v>
      </c>
      <c r="K200" s="8">
        <v>1</v>
      </c>
      <c r="L200" s="7">
        <v>1.05</v>
      </c>
      <c r="M200" s="100">
        <v>0.95</v>
      </c>
      <c r="N200" s="5" t="s">
        <v>214</v>
      </c>
      <c r="O200" s="57"/>
      <c r="P200" s="58"/>
      <c r="Q200" s="12">
        <v>103.67908333333334</v>
      </c>
      <c r="R200" s="12">
        <v>1.2575333333333334</v>
      </c>
      <c r="S200" s="139"/>
      <c r="T200" s="139">
        <v>0</v>
      </c>
      <c r="U200" s="151">
        <v>0</v>
      </c>
      <c r="V200" s="93">
        <f t="shared" si="19"/>
        <v>0</v>
      </c>
      <c r="W200" s="93">
        <f t="shared" si="20"/>
        <v>0</v>
      </c>
      <c r="X200" s="93">
        <f t="shared" si="21"/>
        <v>0</v>
      </c>
      <c r="Z200" s="8">
        <v>0</v>
      </c>
      <c r="AA200" s="8">
        <v>0</v>
      </c>
      <c r="AC200" s="151">
        <v>0</v>
      </c>
      <c r="AD200" s="8">
        <f t="shared" si="22"/>
        <v>0</v>
      </c>
      <c r="AF200" s="152">
        <v>0</v>
      </c>
      <c r="AG200" s="152">
        <v>0</v>
      </c>
    </row>
    <row r="201" spans="1:33" x14ac:dyDescent="0.25">
      <c r="A201" s="99">
        <f t="shared" si="23"/>
        <v>200</v>
      </c>
      <c r="B201" s="8">
        <v>1</v>
      </c>
      <c r="C201" s="8">
        <v>12.4749</v>
      </c>
      <c r="D201" s="8">
        <v>5.1147</v>
      </c>
      <c r="E201" s="8">
        <v>0</v>
      </c>
      <c r="F201" s="8">
        <v>0</v>
      </c>
      <c r="G201" s="8">
        <v>1</v>
      </c>
      <c r="H201" s="8">
        <v>1</v>
      </c>
      <c r="I201" s="8">
        <v>0</v>
      </c>
      <c r="J201" s="6">
        <v>22</v>
      </c>
      <c r="K201" s="8">
        <v>1</v>
      </c>
      <c r="L201" s="7">
        <v>1.05</v>
      </c>
      <c r="M201" s="100">
        <v>0.95</v>
      </c>
      <c r="N201" s="5" t="s">
        <v>216</v>
      </c>
      <c r="O201" s="57"/>
      <c r="P201" s="58"/>
      <c r="Q201" s="12">
        <v>103.67633333333333</v>
      </c>
      <c r="R201" s="12">
        <v>1.2593166666666666</v>
      </c>
      <c r="S201" s="136" t="s">
        <v>941</v>
      </c>
      <c r="T201" s="136">
        <v>1</v>
      </c>
      <c r="U201" s="151">
        <v>15</v>
      </c>
      <c r="V201" s="93">
        <f t="shared" si="19"/>
        <v>13.878782092599703</v>
      </c>
      <c r="W201" s="93">
        <f t="shared" si="20"/>
        <v>5.6902906451370123</v>
      </c>
      <c r="X201" s="93">
        <f t="shared" si="21"/>
        <v>0.92525213950664686</v>
      </c>
      <c r="Z201" s="8">
        <v>10</v>
      </c>
      <c r="AA201" s="8">
        <v>4.0999997410000004</v>
      </c>
      <c r="AC201" s="151">
        <v>15</v>
      </c>
      <c r="AD201" s="8">
        <f t="shared" si="22"/>
        <v>14.7</v>
      </c>
      <c r="AF201" s="152">
        <v>12.4749</v>
      </c>
      <c r="AG201" s="152">
        <v>5.1147</v>
      </c>
    </row>
    <row r="202" spans="1:33" x14ac:dyDescent="0.25">
      <c r="A202" s="99">
        <f t="shared" si="23"/>
        <v>201</v>
      </c>
      <c r="B202" s="8">
        <v>1</v>
      </c>
      <c r="C202" s="8">
        <v>2.5693999999999999</v>
      </c>
      <c r="D202" s="8">
        <v>1.2847</v>
      </c>
      <c r="E202" s="8">
        <v>0</v>
      </c>
      <c r="F202" s="8">
        <v>0</v>
      </c>
      <c r="G202" s="8">
        <v>1</v>
      </c>
      <c r="H202" s="8">
        <v>1</v>
      </c>
      <c r="I202" s="8">
        <v>0</v>
      </c>
      <c r="J202" s="6">
        <v>22</v>
      </c>
      <c r="K202" s="8">
        <v>1</v>
      </c>
      <c r="L202" s="7">
        <v>1.05</v>
      </c>
      <c r="M202" s="100">
        <v>0.95</v>
      </c>
      <c r="N202" s="5" t="s">
        <v>218</v>
      </c>
      <c r="O202" s="57"/>
      <c r="P202" s="58"/>
      <c r="Q202" s="12">
        <v>103.67491666666666</v>
      </c>
      <c r="R202" s="12">
        <v>1.2615499999999999</v>
      </c>
      <c r="S202" s="134" t="s">
        <v>928</v>
      </c>
      <c r="T202" s="134">
        <v>2</v>
      </c>
      <c r="U202" s="151">
        <v>3</v>
      </c>
      <c r="V202" s="93">
        <f t="shared" si="19"/>
        <v>2.6832815729997477</v>
      </c>
      <c r="W202" s="93">
        <f t="shared" si="20"/>
        <v>1.3416407864998738</v>
      </c>
      <c r="X202" s="93">
        <f t="shared" si="21"/>
        <v>0.89442719099991586</v>
      </c>
      <c r="Z202" s="8">
        <v>0.99999997799999996</v>
      </c>
      <c r="AA202" s="8">
        <v>0.49999998899999998</v>
      </c>
      <c r="AC202" s="151">
        <v>3</v>
      </c>
      <c r="AD202" s="8">
        <f t="shared" si="22"/>
        <v>2.94</v>
      </c>
      <c r="AF202" s="152">
        <v>2.5693999999999999</v>
      </c>
      <c r="AG202" s="152">
        <v>1.2847</v>
      </c>
    </row>
    <row r="203" spans="1:33" x14ac:dyDescent="0.25">
      <c r="A203" s="99">
        <f t="shared" si="23"/>
        <v>202</v>
      </c>
      <c r="B203" s="8">
        <v>1</v>
      </c>
      <c r="C203" s="8">
        <v>0</v>
      </c>
      <c r="D203" s="8">
        <v>0</v>
      </c>
      <c r="E203" s="8">
        <v>0</v>
      </c>
      <c r="F203" s="8">
        <v>0</v>
      </c>
      <c r="G203" s="8">
        <v>1</v>
      </c>
      <c r="H203" s="8">
        <v>1</v>
      </c>
      <c r="I203" s="8">
        <v>0</v>
      </c>
      <c r="J203" s="6">
        <v>22</v>
      </c>
      <c r="K203" s="8">
        <v>1</v>
      </c>
      <c r="L203" s="7">
        <v>1.05</v>
      </c>
      <c r="M203" s="100">
        <v>0.95</v>
      </c>
      <c r="N203" s="5" t="s">
        <v>217</v>
      </c>
      <c r="O203" s="57"/>
      <c r="P203" s="58"/>
      <c r="Q203" s="12">
        <v>103.67415</v>
      </c>
      <c r="R203" s="12">
        <v>1.2624</v>
      </c>
      <c r="S203" s="139"/>
      <c r="T203" s="139">
        <v>0</v>
      </c>
      <c r="U203" s="151">
        <v>0</v>
      </c>
      <c r="V203" s="93">
        <f t="shared" si="19"/>
        <v>0</v>
      </c>
      <c r="W203" s="93">
        <f t="shared" si="20"/>
        <v>0</v>
      </c>
      <c r="X203" s="93">
        <f t="shared" si="21"/>
        <v>0</v>
      </c>
      <c r="Z203" s="8">
        <v>0</v>
      </c>
      <c r="AA203" s="8">
        <v>0</v>
      </c>
      <c r="AC203" s="151">
        <v>0</v>
      </c>
      <c r="AD203" s="8">
        <f t="shared" si="22"/>
        <v>0</v>
      </c>
      <c r="AF203" s="152">
        <v>0</v>
      </c>
      <c r="AG203" s="152">
        <v>0</v>
      </c>
    </row>
    <row r="204" spans="1:33" x14ac:dyDescent="0.25">
      <c r="A204" s="99">
        <f t="shared" si="23"/>
        <v>203</v>
      </c>
      <c r="B204" s="8">
        <v>1</v>
      </c>
      <c r="C204" s="8">
        <v>12.57</v>
      </c>
      <c r="D204" s="8">
        <v>6.2226999999999997</v>
      </c>
      <c r="E204" s="8">
        <v>0</v>
      </c>
      <c r="F204" s="8">
        <v>0</v>
      </c>
      <c r="G204" s="8">
        <v>1</v>
      </c>
      <c r="H204" s="8">
        <v>1</v>
      </c>
      <c r="I204" s="8">
        <v>0</v>
      </c>
      <c r="J204" s="6">
        <v>22</v>
      </c>
      <c r="K204" s="8">
        <v>1</v>
      </c>
      <c r="L204" s="7">
        <v>1.05</v>
      </c>
      <c r="M204" s="100">
        <v>0.95</v>
      </c>
      <c r="N204" s="5" t="s">
        <v>221</v>
      </c>
      <c r="O204" s="57"/>
      <c r="P204" s="58"/>
      <c r="Q204" s="12">
        <v>103.67751666666666</v>
      </c>
      <c r="R204" s="12">
        <v>1.2599666666666667</v>
      </c>
      <c r="S204" s="136" t="s">
        <v>959</v>
      </c>
      <c r="T204" s="136">
        <v>1</v>
      </c>
      <c r="U204" s="151">
        <v>15</v>
      </c>
      <c r="V204" s="93">
        <f t="shared" si="19"/>
        <v>13.442952612699727</v>
      </c>
      <c r="W204" s="93">
        <f t="shared" si="20"/>
        <v>6.6548497393036277</v>
      </c>
      <c r="X204" s="93">
        <f t="shared" si="21"/>
        <v>0.89619684084664852</v>
      </c>
      <c r="Z204" s="8">
        <v>2.0199999210000001</v>
      </c>
      <c r="AA204" s="8">
        <v>0.99999997799999996</v>
      </c>
      <c r="AC204" s="151">
        <v>15</v>
      </c>
      <c r="AD204" s="8">
        <f t="shared" si="22"/>
        <v>14.7</v>
      </c>
      <c r="AF204" s="152">
        <v>12.57</v>
      </c>
      <c r="AG204" s="152">
        <v>6.2226999999999997</v>
      </c>
    </row>
    <row r="205" spans="1:33" x14ac:dyDescent="0.25">
      <c r="A205" s="99">
        <f t="shared" si="23"/>
        <v>204</v>
      </c>
      <c r="B205" s="8">
        <v>1</v>
      </c>
      <c r="C205" s="8">
        <v>3.6143999999999998</v>
      </c>
      <c r="D205" s="8">
        <v>1.8033999999999999</v>
      </c>
      <c r="E205" s="8">
        <v>0</v>
      </c>
      <c r="F205" s="8">
        <v>0</v>
      </c>
      <c r="G205" s="8">
        <v>1</v>
      </c>
      <c r="H205" s="8">
        <v>1</v>
      </c>
      <c r="I205" s="8">
        <v>0</v>
      </c>
      <c r="J205" s="6">
        <v>22</v>
      </c>
      <c r="K205" s="8">
        <v>1</v>
      </c>
      <c r="L205" s="7">
        <v>1.05</v>
      </c>
      <c r="M205" s="100">
        <v>0.95</v>
      </c>
      <c r="N205" s="5" t="s">
        <v>223</v>
      </c>
      <c r="O205" s="57"/>
      <c r="P205" s="58"/>
      <c r="Q205" s="12">
        <v>103.67781666666667</v>
      </c>
      <c r="R205" s="12">
        <v>1.2613000000000001</v>
      </c>
      <c r="S205" s="133" t="s">
        <v>950</v>
      </c>
      <c r="T205" s="133">
        <v>4</v>
      </c>
      <c r="U205" s="151">
        <v>6</v>
      </c>
      <c r="V205" s="93">
        <f t="shared" si="19"/>
        <v>5.3688190497031396</v>
      </c>
      <c r="W205" s="93">
        <f t="shared" si="20"/>
        <v>2.6787650161118419</v>
      </c>
      <c r="X205" s="93">
        <f t="shared" si="21"/>
        <v>0.89480317495052331</v>
      </c>
      <c r="Z205" s="8">
        <v>9.6199996769999991</v>
      </c>
      <c r="AA205" s="8">
        <v>4.8000000419999997</v>
      </c>
      <c r="AC205" s="151">
        <v>6</v>
      </c>
      <c r="AD205" s="8">
        <f t="shared" si="22"/>
        <v>5.88</v>
      </c>
      <c r="AF205" s="152">
        <v>3.6143999999999998</v>
      </c>
      <c r="AG205" s="152">
        <v>1.8033999999999999</v>
      </c>
    </row>
    <row r="206" spans="1:33" x14ac:dyDescent="0.25">
      <c r="A206" s="99">
        <f t="shared" si="23"/>
        <v>205</v>
      </c>
      <c r="B206" s="8">
        <v>1</v>
      </c>
      <c r="C206" s="8">
        <v>7.6348000000000003</v>
      </c>
      <c r="D206" s="8">
        <v>3.7866</v>
      </c>
      <c r="E206" s="8">
        <v>0</v>
      </c>
      <c r="F206" s="8">
        <v>0</v>
      </c>
      <c r="G206" s="8">
        <v>1</v>
      </c>
      <c r="H206" s="8">
        <v>1</v>
      </c>
      <c r="I206" s="8">
        <v>0</v>
      </c>
      <c r="J206" s="6">
        <v>22</v>
      </c>
      <c r="K206" s="8">
        <v>1</v>
      </c>
      <c r="L206" s="7">
        <v>1.05</v>
      </c>
      <c r="M206" s="100">
        <v>0.95</v>
      </c>
      <c r="N206" s="5" t="s">
        <v>226</v>
      </c>
      <c r="O206" s="57"/>
      <c r="P206" s="58"/>
      <c r="Q206" s="12">
        <v>103.67928333333333</v>
      </c>
      <c r="R206" s="12">
        <v>1.2627833333333334</v>
      </c>
      <c r="S206" s="133" t="s">
        <v>950</v>
      </c>
      <c r="T206" s="133">
        <v>4</v>
      </c>
      <c r="U206" s="151">
        <v>12</v>
      </c>
      <c r="V206" s="93">
        <f t="shared" si="19"/>
        <v>10.750417774863518</v>
      </c>
      <c r="W206" s="93">
        <f t="shared" si="20"/>
        <v>5.3318399887748384</v>
      </c>
      <c r="X206" s="93">
        <f t="shared" si="21"/>
        <v>0.89586814790529323</v>
      </c>
      <c r="Z206" s="8">
        <v>8.6699999870000006</v>
      </c>
      <c r="AA206" s="8">
        <v>4.3000001460000004</v>
      </c>
      <c r="AC206" s="151">
        <v>12</v>
      </c>
      <c r="AD206" s="8">
        <f t="shared" si="22"/>
        <v>11.76</v>
      </c>
      <c r="AF206" s="152">
        <v>7.6348000000000003</v>
      </c>
      <c r="AG206" s="152">
        <v>3.7866</v>
      </c>
    </row>
    <row r="207" spans="1:33" x14ac:dyDescent="0.25">
      <c r="A207" s="99">
        <f t="shared" si="23"/>
        <v>206</v>
      </c>
      <c r="B207" s="8">
        <v>1</v>
      </c>
      <c r="C207" s="8">
        <v>42.946899999999999</v>
      </c>
      <c r="D207" s="8">
        <v>20.847999999999999</v>
      </c>
      <c r="E207" s="8">
        <v>0</v>
      </c>
      <c r="F207" s="8">
        <v>0</v>
      </c>
      <c r="G207" s="8">
        <v>1</v>
      </c>
      <c r="H207" s="8">
        <v>1</v>
      </c>
      <c r="I207" s="8">
        <v>0</v>
      </c>
      <c r="J207" s="104">
        <v>66</v>
      </c>
      <c r="K207" s="8">
        <v>1</v>
      </c>
      <c r="L207" s="7">
        <v>1.05</v>
      </c>
      <c r="M207" s="100">
        <v>0.95</v>
      </c>
      <c r="N207" s="5" t="s">
        <v>228</v>
      </c>
      <c r="O207" s="12">
        <v>103.68216666666666</v>
      </c>
      <c r="P207" s="12">
        <v>1.2607416666666666</v>
      </c>
      <c r="Q207" s="12">
        <f>(Q12+Q20)/2</f>
        <v>103.68370833333333</v>
      </c>
      <c r="R207" s="12">
        <f>(R12+R20)/2</f>
        <v>1.2607666666666666</v>
      </c>
      <c r="S207" s="133" t="s">
        <v>953</v>
      </c>
      <c r="T207" s="133">
        <v>4</v>
      </c>
      <c r="U207" s="151">
        <v>50</v>
      </c>
      <c r="V207" s="93">
        <f t="shared" si="19"/>
        <v>44.980314314099786</v>
      </c>
      <c r="W207" s="93">
        <f t="shared" si="20"/>
        <v>21.835093867551606</v>
      </c>
      <c r="X207" s="93">
        <f t="shared" si="21"/>
        <v>0.89960628628199568</v>
      </c>
      <c r="Z207" s="8">
        <v>28.83999944</v>
      </c>
      <c r="AA207" s="8">
        <v>14.00000006</v>
      </c>
      <c r="AC207" s="151">
        <v>50</v>
      </c>
      <c r="AD207" s="8">
        <f t="shared" si="22"/>
        <v>49</v>
      </c>
      <c r="AF207" s="152">
        <v>42.946899999999999</v>
      </c>
      <c r="AG207" s="152">
        <v>20.847999999999999</v>
      </c>
    </row>
    <row r="208" spans="1:33" x14ac:dyDescent="0.25">
      <c r="A208" s="99">
        <f t="shared" si="23"/>
        <v>207</v>
      </c>
      <c r="B208" s="8">
        <v>1</v>
      </c>
      <c r="C208" s="8">
        <v>0</v>
      </c>
      <c r="D208" s="8">
        <v>0</v>
      </c>
      <c r="E208" s="8">
        <v>0</v>
      </c>
      <c r="F208" s="8">
        <v>0</v>
      </c>
      <c r="G208" s="8">
        <v>1</v>
      </c>
      <c r="H208" s="8">
        <v>1</v>
      </c>
      <c r="I208" s="8">
        <v>0</v>
      </c>
      <c r="J208" s="6">
        <v>22</v>
      </c>
      <c r="K208" s="8">
        <v>1</v>
      </c>
      <c r="L208" s="7">
        <v>1.05</v>
      </c>
      <c r="M208" s="100">
        <v>0.95</v>
      </c>
      <c r="N208" s="5" t="s">
        <v>227</v>
      </c>
      <c r="O208" s="59"/>
      <c r="P208" s="60"/>
      <c r="Q208" s="12">
        <v>103.68433333333333</v>
      </c>
      <c r="R208" s="12">
        <v>1.2588666666666666</v>
      </c>
      <c r="S208" s="149"/>
      <c r="T208" s="149">
        <v>0</v>
      </c>
      <c r="U208" s="151">
        <v>0</v>
      </c>
      <c r="V208" s="93">
        <f t="shared" si="19"/>
        <v>0</v>
      </c>
      <c r="W208" s="93">
        <f t="shared" si="20"/>
        <v>0</v>
      </c>
      <c r="X208" s="93">
        <v>0.93</v>
      </c>
      <c r="Z208" s="8">
        <v>0</v>
      </c>
      <c r="AA208" s="8">
        <v>0</v>
      </c>
      <c r="AC208" s="151">
        <v>0</v>
      </c>
      <c r="AD208" s="8">
        <f t="shared" si="22"/>
        <v>0</v>
      </c>
      <c r="AF208" s="152">
        <v>0</v>
      </c>
      <c r="AG208" s="152">
        <v>0</v>
      </c>
    </row>
    <row r="209" spans="1:33" x14ac:dyDescent="0.25">
      <c r="A209" s="99">
        <f t="shared" si="23"/>
        <v>208</v>
      </c>
      <c r="B209" s="8">
        <v>1</v>
      </c>
      <c r="C209" s="8">
        <v>0</v>
      </c>
      <c r="D209" s="8">
        <v>0</v>
      </c>
      <c r="E209" s="8">
        <v>0</v>
      </c>
      <c r="F209" s="8">
        <v>0</v>
      </c>
      <c r="G209" s="8">
        <v>1</v>
      </c>
      <c r="H209" s="8">
        <v>1</v>
      </c>
      <c r="I209" s="8">
        <v>0</v>
      </c>
      <c r="J209" s="105">
        <v>230</v>
      </c>
      <c r="K209" s="8">
        <v>1</v>
      </c>
      <c r="L209" s="7">
        <v>1.05</v>
      </c>
      <c r="M209" s="100">
        <v>0.95</v>
      </c>
      <c r="N209" s="5" t="s">
        <v>50</v>
      </c>
      <c r="O209" s="59"/>
      <c r="P209" s="60"/>
      <c r="Q209" s="12">
        <v>103.66601666666666</v>
      </c>
      <c r="R209" s="12">
        <v>1.2667666666666666</v>
      </c>
      <c r="S209" s="135"/>
      <c r="T209" s="135">
        <v>-1</v>
      </c>
      <c r="U209" s="151">
        <v>0</v>
      </c>
      <c r="V209" s="93">
        <v>0</v>
      </c>
      <c r="W209" s="93">
        <f t="shared" si="20"/>
        <v>0</v>
      </c>
      <c r="X209" s="93">
        <f t="shared" ref="X209" si="24">IF(C209&gt;0, C209/SQRT(C209*C209+D209*D209), 0)</f>
        <v>0</v>
      </c>
      <c r="Z209" s="8">
        <v>0</v>
      </c>
      <c r="AA209" s="8">
        <v>0</v>
      </c>
      <c r="AC209" s="151">
        <v>0</v>
      </c>
      <c r="AD209" s="8">
        <f t="shared" si="22"/>
        <v>0</v>
      </c>
      <c r="AF209" s="152">
        <v>0</v>
      </c>
      <c r="AG209" s="152">
        <v>0</v>
      </c>
    </row>
    <row r="210" spans="1:33" x14ac:dyDescent="0.25">
      <c r="C210" s="98">
        <f>SUM(C2:C209)</f>
        <v>2984.7701999999995</v>
      </c>
      <c r="D210" s="98">
        <f>SUM(D2:D209)</f>
        <v>1168.5728999999994</v>
      </c>
      <c r="V210" s="140">
        <f>SUM(V2:V209)</f>
        <v>2520.0627248832625</v>
      </c>
      <c r="W210" s="140">
        <f>SUM(W2:W209)</f>
        <v>1048.8650714227322</v>
      </c>
    </row>
  </sheetData>
  <mergeCells count="2">
    <mergeCell ref="O1:P1"/>
    <mergeCell ref="AF1:AG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12"/>
  <sheetViews>
    <sheetView tabSelected="1" topLeftCell="A37" workbookViewId="0">
      <selection activeCell="Q43" sqref="Q43"/>
    </sheetView>
  </sheetViews>
  <sheetFormatPr defaultRowHeight="15" x14ac:dyDescent="0.25"/>
  <cols>
    <col min="1" max="1" width="11.5703125" bestFit="1" customWidth="1"/>
    <col min="2" max="2" width="44.42578125" bestFit="1" customWidth="1"/>
    <col min="3" max="4" width="12" bestFit="1" customWidth="1"/>
    <col min="5" max="5" width="16.5703125" bestFit="1" customWidth="1"/>
    <col min="6" max="6" width="35.85546875" bestFit="1" customWidth="1"/>
  </cols>
  <sheetData>
    <row r="1" spans="1:9" x14ac:dyDescent="0.25">
      <c r="A1" s="178" t="s">
        <v>997</v>
      </c>
      <c r="B1" s="178" t="s">
        <v>996</v>
      </c>
      <c r="C1" s="178" t="s">
        <v>36</v>
      </c>
      <c r="D1" s="178" t="s">
        <v>297</v>
      </c>
      <c r="E1" s="178" t="s">
        <v>995</v>
      </c>
      <c r="F1" s="178" t="s">
        <v>994</v>
      </c>
    </row>
    <row r="2" spans="1:9" x14ac:dyDescent="0.25">
      <c r="A2" s="186" t="s">
        <v>1004</v>
      </c>
      <c r="B2" s="186" t="s">
        <v>1002</v>
      </c>
      <c r="C2" s="186">
        <v>11544271.965399999</v>
      </c>
      <c r="D2" s="186">
        <v>141164.58879999799</v>
      </c>
      <c r="E2" s="186" t="s">
        <v>991</v>
      </c>
      <c r="F2" s="178" t="s">
        <v>1003</v>
      </c>
      <c r="G2" s="12">
        <v>11546929.2071</v>
      </c>
      <c r="I2" s="187" t="s">
        <v>1005</v>
      </c>
    </row>
    <row r="3" spans="1:9" x14ac:dyDescent="0.25">
      <c r="A3" s="3">
        <v>1</v>
      </c>
      <c r="B3" t="s">
        <v>47</v>
      </c>
      <c r="C3" s="12">
        <v>103.71158333333334</v>
      </c>
      <c r="D3" s="12">
        <v>1.2962666666666667</v>
      </c>
      <c r="E3" t="s">
        <v>987</v>
      </c>
      <c r="F3" s="135" t="s">
        <v>979</v>
      </c>
    </row>
    <row r="4" spans="1:9" x14ac:dyDescent="0.25">
      <c r="A4" s="72">
        <f>A3+1</f>
        <v>2</v>
      </c>
      <c r="B4" t="s">
        <v>917</v>
      </c>
      <c r="C4" s="12">
        <v>103.67403333333333</v>
      </c>
      <c r="D4" s="12">
        <v>1.2820333333333334</v>
      </c>
      <c r="E4" t="s">
        <v>987</v>
      </c>
      <c r="F4" s="135" t="s">
        <v>979</v>
      </c>
    </row>
    <row r="5" spans="1:9" x14ac:dyDescent="0.25">
      <c r="A5" s="80">
        <f t="shared" ref="A5:A68" si="0">A4+1</f>
        <v>3</v>
      </c>
      <c r="B5" t="s">
        <v>921</v>
      </c>
      <c r="C5" s="12">
        <v>103.7252</v>
      </c>
      <c r="D5" s="12">
        <v>1.2841</v>
      </c>
      <c r="E5" t="s">
        <v>987</v>
      </c>
      <c r="F5" s="135" t="s">
        <v>979</v>
      </c>
    </row>
    <row r="6" spans="1:9" x14ac:dyDescent="0.25">
      <c r="A6" s="76">
        <f t="shared" si="0"/>
        <v>4</v>
      </c>
      <c r="B6" t="s">
        <v>923</v>
      </c>
      <c r="C6" s="12">
        <v>103.7028</v>
      </c>
      <c r="D6" s="12">
        <v>1.2541500000000001</v>
      </c>
      <c r="E6" t="s">
        <v>987</v>
      </c>
      <c r="F6" s="135" t="s">
        <v>979</v>
      </c>
    </row>
    <row r="7" spans="1:9" x14ac:dyDescent="0.25">
      <c r="A7" s="70">
        <f t="shared" si="0"/>
        <v>5</v>
      </c>
      <c r="B7" t="s">
        <v>46</v>
      </c>
      <c r="C7" s="12">
        <v>103.72716666666666</v>
      </c>
      <c r="D7" s="12">
        <v>1.2794833333333333</v>
      </c>
      <c r="E7" t="s">
        <v>987</v>
      </c>
      <c r="F7" s="135" t="s">
        <v>979</v>
      </c>
    </row>
    <row r="8" spans="1:9" x14ac:dyDescent="0.25">
      <c r="A8" s="99">
        <f t="shared" si="0"/>
        <v>6</v>
      </c>
      <c r="B8" t="s">
        <v>48</v>
      </c>
      <c r="C8" s="12">
        <v>103.71896666666666</v>
      </c>
      <c r="D8" s="12">
        <v>1.2803333333333333</v>
      </c>
      <c r="E8" t="s">
        <v>245</v>
      </c>
      <c r="F8" s="135" t="s">
        <v>980</v>
      </c>
    </row>
    <row r="9" spans="1:9" x14ac:dyDescent="0.25">
      <c r="A9" s="99">
        <f t="shared" si="0"/>
        <v>7</v>
      </c>
      <c r="B9" t="s">
        <v>49</v>
      </c>
      <c r="C9" s="12">
        <v>103.70396666666667</v>
      </c>
      <c r="D9" s="12">
        <v>1.268</v>
      </c>
      <c r="E9" t="s">
        <v>245</v>
      </c>
      <c r="F9" s="135" t="s">
        <v>980</v>
      </c>
    </row>
    <row r="10" spans="1:9" x14ac:dyDescent="0.25">
      <c r="A10" s="99">
        <f t="shared" si="0"/>
        <v>8</v>
      </c>
      <c r="B10" t="s">
        <v>50</v>
      </c>
      <c r="C10" s="12">
        <v>103.68503333333334</v>
      </c>
      <c r="D10" s="12">
        <v>1.2709166666666667</v>
      </c>
      <c r="E10" t="s">
        <v>245</v>
      </c>
      <c r="F10" s="135" t="s">
        <v>980</v>
      </c>
    </row>
    <row r="11" spans="1:9" x14ac:dyDescent="0.25">
      <c r="A11" s="99">
        <f t="shared" si="0"/>
        <v>9</v>
      </c>
      <c r="B11" t="s">
        <v>51</v>
      </c>
      <c r="C11" s="12">
        <v>103.71896666666666</v>
      </c>
      <c r="D11" s="12">
        <v>1.2803333333333333</v>
      </c>
      <c r="E11" t="s">
        <v>245</v>
      </c>
      <c r="F11" s="135" t="s">
        <v>980</v>
      </c>
    </row>
    <row r="12" spans="1:9" x14ac:dyDescent="0.25">
      <c r="A12" s="99">
        <f t="shared" si="0"/>
        <v>10</v>
      </c>
      <c r="B12" t="s">
        <v>52</v>
      </c>
      <c r="C12" s="12">
        <v>103.70396666666667</v>
      </c>
      <c r="D12" s="12">
        <v>1.268</v>
      </c>
      <c r="E12" t="s">
        <v>245</v>
      </c>
      <c r="F12" s="135" t="s">
        <v>980</v>
      </c>
    </row>
    <row r="13" spans="1:9" x14ac:dyDescent="0.25">
      <c r="A13" s="99">
        <f t="shared" si="0"/>
        <v>11</v>
      </c>
      <c r="B13" t="s">
        <v>58</v>
      </c>
      <c r="C13" s="12">
        <v>103.68503333333334</v>
      </c>
      <c r="D13" s="12">
        <v>1.2709166666666667</v>
      </c>
      <c r="E13" t="s">
        <v>245</v>
      </c>
      <c r="F13" s="135" t="s">
        <v>980</v>
      </c>
    </row>
    <row r="14" spans="1:9" x14ac:dyDescent="0.25">
      <c r="A14" s="99">
        <f t="shared" si="0"/>
        <v>12</v>
      </c>
      <c r="B14" t="s">
        <v>55</v>
      </c>
      <c r="C14" s="12">
        <v>103.72075</v>
      </c>
      <c r="D14" s="12">
        <v>1.2856166666666666</v>
      </c>
      <c r="E14" t="s">
        <v>245</v>
      </c>
      <c r="F14" s="135" t="s">
        <v>980</v>
      </c>
    </row>
    <row r="15" spans="1:9" x14ac:dyDescent="0.25">
      <c r="A15" s="99">
        <f t="shared" si="0"/>
        <v>13</v>
      </c>
      <c r="B15" t="s">
        <v>57</v>
      </c>
      <c r="C15" s="12">
        <v>103.72351666666667</v>
      </c>
      <c r="D15" s="12">
        <v>1.2746333333333333</v>
      </c>
      <c r="E15" t="s">
        <v>245</v>
      </c>
      <c r="F15" s="135" t="s">
        <v>980</v>
      </c>
    </row>
    <row r="16" spans="1:9" x14ac:dyDescent="0.25">
      <c r="A16" s="99">
        <f t="shared" si="0"/>
        <v>14</v>
      </c>
      <c r="B16" t="s">
        <v>54</v>
      </c>
      <c r="C16" s="12">
        <v>103.71325</v>
      </c>
      <c r="D16" s="12">
        <v>1.2770833333333333</v>
      </c>
      <c r="E16" t="s">
        <v>245</v>
      </c>
      <c r="F16" s="135" t="s">
        <v>980</v>
      </c>
    </row>
    <row r="17" spans="1:6" x14ac:dyDescent="0.25">
      <c r="A17" s="99">
        <f t="shared" si="0"/>
        <v>15</v>
      </c>
      <c r="B17" t="s">
        <v>56</v>
      </c>
      <c r="C17" s="12">
        <v>103.71693333333333</v>
      </c>
      <c r="D17" s="12">
        <v>1.2707666666666666</v>
      </c>
      <c r="E17" t="s">
        <v>245</v>
      </c>
      <c r="F17" s="135" t="s">
        <v>980</v>
      </c>
    </row>
    <row r="18" spans="1:6" x14ac:dyDescent="0.25">
      <c r="A18" s="99">
        <f t="shared" si="0"/>
        <v>16</v>
      </c>
      <c r="B18" t="s">
        <v>53</v>
      </c>
      <c r="C18" s="12">
        <v>103.70356666666666</v>
      </c>
      <c r="D18" s="12">
        <v>1.26755</v>
      </c>
      <c r="E18" t="s">
        <v>245</v>
      </c>
      <c r="F18" s="135" t="s">
        <v>980</v>
      </c>
    </row>
    <row r="19" spans="1:6" x14ac:dyDescent="0.25">
      <c r="A19" s="99">
        <f t="shared" si="0"/>
        <v>17</v>
      </c>
      <c r="B19" t="s">
        <v>59</v>
      </c>
      <c r="C19" s="12">
        <v>103.70023333333333</v>
      </c>
      <c r="D19" s="12">
        <v>1.2610166666666667</v>
      </c>
      <c r="E19" t="s">
        <v>245</v>
      </c>
      <c r="F19" s="135" t="s">
        <v>980</v>
      </c>
    </row>
    <row r="20" spans="1:6" x14ac:dyDescent="0.25">
      <c r="A20" s="99">
        <f t="shared" si="0"/>
        <v>18</v>
      </c>
      <c r="B20" t="s">
        <v>60</v>
      </c>
      <c r="C20" s="101">
        <v>103.684</v>
      </c>
      <c r="D20" s="101">
        <v>1.2715000000000001</v>
      </c>
      <c r="E20" t="s">
        <v>245</v>
      </c>
      <c r="F20" s="135" t="s">
        <v>980</v>
      </c>
    </row>
    <row r="21" spans="1:6" x14ac:dyDescent="0.25">
      <c r="A21" s="99">
        <f t="shared" si="0"/>
        <v>19</v>
      </c>
      <c r="B21" t="s">
        <v>62</v>
      </c>
      <c r="C21" s="12">
        <v>103.68238333333333</v>
      </c>
      <c r="D21" s="12">
        <v>1.2506166666666667</v>
      </c>
      <c r="E21" t="s">
        <v>245</v>
      </c>
      <c r="F21" s="135" t="s">
        <v>980</v>
      </c>
    </row>
    <row r="22" spans="1:6" x14ac:dyDescent="0.25">
      <c r="A22" s="99">
        <f t="shared" si="0"/>
        <v>20</v>
      </c>
      <c r="B22" t="s">
        <v>61</v>
      </c>
      <c r="C22" s="12">
        <v>103.66601666666666</v>
      </c>
      <c r="D22" s="12">
        <v>1.2667666666666666</v>
      </c>
      <c r="E22" t="s">
        <v>245</v>
      </c>
      <c r="F22" s="135" t="s">
        <v>980</v>
      </c>
    </row>
    <row r="23" spans="1:6" x14ac:dyDescent="0.25">
      <c r="A23" s="99">
        <f t="shared" si="0"/>
        <v>21</v>
      </c>
      <c r="B23" t="s">
        <v>99</v>
      </c>
      <c r="C23" s="12">
        <v>103.72075</v>
      </c>
      <c r="D23" s="12">
        <v>1.2856166666666666</v>
      </c>
      <c r="E23" t="s">
        <v>245</v>
      </c>
      <c r="F23" s="135" t="s">
        <v>980</v>
      </c>
    </row>
    <row r="24" spans="1:6" x14ac:dyDescent="0.25">
      <c r="A24" s="99">
        <f t="shared" si="0"/>
        <v>22</v>
      </c>
      <c r="B24" t="s">
        <v>83</v>
      </c>
      <c r="C24" s="12">
        <v>103.72351666666667</v>
      </c>
      <c r="D24" s="12">
        <v>1.2746333333333333</v>
      </c>
      <c r="E24" t="s">
        <v>245</v>
      </c>
      <c r="F24" s="135" t="s">
        <v>980</v>
      </c>
    </row>
    <row r="25" spans="1:6" x14ac:dyDescent="0.25">
      <c r="A25" s="99">
        <f t="shared" si="0"/>
        <v>23</v>
      </c>
      <c r="B25" t="s">
        <v>63</v>
      </c>
      <c r="C25" s="12">
        <v>103.71325</v>
      </c>
      <c r="D25" s="12">
        <v>1.2770833333333333</v>
      </c>
      <c r="E25" t="s">
        <v>245</v>
      </c>
      <c r="F25" s="135" t="s">
        <v>980</v>
      </c>
    </row>
    <row r="26" spans="1:6" x14ac:dyDescent="0.25">
      <c r="A26" s="99">
        <f t="shared" si="0"/>
        <v>24</v>
      </c>
      <c r="B26" t="s">
        <v>80</v>
      </c>
      <c r="C26" s="12">
        <v>103.71693333333333</v>
      </c>
      <c r="D26" s="12">
        <v>1.2707666666666666</v>
      </c>
      <c r="E26" t="s">
        <v>245</v>
      </c>
      <c r="F26" s="135" t="s">
        <v>980</v>
      </c>
    </row>
    <row r="27" spans="1:6" x14ac:dyDescent="0.25">
      <c r="A27" s="99">
        <f t="shared" si="0"/>
        <v>25</v>
      </c>
      <c r="B27" t="s">
        <v>122</v>
      </c>
      <c r="C27" s="12">
        <v>103.70356666666666</v>
      </c>
      <c r="D27" s="12">
        <v>1.26755</v>
      </c>
      <c r="E27" t="s">
        <v>245</v>
      </c>
      <c r="F27" s="135" t="s">
        <v>980</v>
      </c>
    </row>
    <row r="28" spans="1:6" x14ac:dyDescent="0.25">
      <c r="A28" s="99">
        <f t="shared" si="0"/>
        <v>26</v>
      </c>
      <c r="B28" t="s">
        <v>93</v>
      </c>
      <c r="C28" s="12">
        <v>103.70023333333333</v>
      </c>
      <c r="D28" s="12">
        <v>1.2610166666666667</v>
      </c>
      <c r="E28" t="s">
        <v>245</v>
      </c>
      <c r="F28" s="135" t="s">
        <v>980</v>
      </c>
    </row>
    <row r="29" spans="1:6" x14ac:dyDescent="0.25">
      <c r="A29" s="99">
        <f t="shared" si="0"/>
        <v>27</v>
      </c>
      <c r="B29" t="s">
        <v>115</v>
      </c>
      <c r="C29" s="101">
        <v>103.684</v>
      </c>
      <c r="D29" s="101">
        <v>1.2715000000000001</v>
      </c>
      <c r="E29" t="s">
        <v>245</v>
      </c>
      <c r="F29" s="135" t="s">
        <v>980</v>
      </c>
    </row>
    <row r="30" spans="1:6" x14ac:dyDescent="0.25">
      <c r="A30" s="99">
        <f t="shared" si="0"/>
        <v>28</v>
      </c>
      <c r="B30" t="s">
        <v>191</v>
      </c>
      <c r="C30" s="12">
        <v>103.68238333333333</v>
      </c>
      <c r="D30" s="12">
        <v>1.2506166666666667</v>
      </c>
      <c r="E30" t="s">
        <v>245</v>
      </c>
      <c r="F30" s="135" t="s">
        <v>980</v>
      </c>
    </row>
    <row r="31" spans="1:6" x14ac:dyDescent="0.25">
      <c r="A31" s="99">
        <f t="shared" si="0"/>
        <v>29</v>
      </c>
      <c r="B31" t="s">
        <v>166</v>
      </c>
      <c r="C31" s="12">
        <v>103.66601666666666</v>
      </c>
      <c r="D31" s="12">
        <v>1.2667666666666666</v>
      </c>
      <c r="E31" t="s">
        <v>245</v>
      </c>
      <c r="F31" s="135" t="s">
        <v>980</v>
      </c>
    </row>
    <row r="32" spans="1:6" x14ac:dyDescent="0.25">
      <c r="A32" s="99">
        <f t="shared" si="0"/>
        <v>30</v>
      </c>
      <c r="B32" t="s">
        <v>107</v>
      </c>
      <c r="C32" s="12">
        <v>103.72006666666667</v>
      </c>
      <c r="D32" s="12">
        <v>1.2851166666666667</v>
      </c>
      <c r="E32" t="s">
        <v>988</v>
      </c>
      <c r="F32" s="136" t="s">
        <v>927</v>
      </c>
    </row>
    <row r="33" spans="1:6" x14ac:dyDescent="0.25">
      <c r="A33" s="99">
        <f t="shared" si="0"/>
        <v>31</v>
      </c>
      <c r="B33" t="s">
        <v>127</v>
      </c>
      <c r="C33" s="12">
        <v>103.72031666666666</v>
      </c>
      <c r="D33" s="12">
        <v>1.2831833333333333</v>
      </c>
      <c r="E33" t="s">
        <v>990</v>
      </c>
      <c r="F33" s="134" t="s">
        <v>928</v>
      </c>
    </row>
    <row r="34" spans="1:6" x14ac:dyDescent="0.25">
      <c r="A34" s="179">
        <f t="shared" si="0"/>
        <v>32</v>
      </c>
      <c r="B34" s="173" t="s">
        <v>126</v>
      </c>
      <c r="C34" s="12">
        <v>103.7195</v>
      </c>
      <c r="D34" s="12">
        <v>1.2827999999999999</v>
      </c>
      <c r="E34" s="173"/>
      <c r="F34" s="183"/>
    </row>
    <row r="35" spans="1:6" x14ac:dyDescent="0.25">
      <c r="A35" s="99">
        <f t="shared" si="0"/>
        <v>33</v>
      </c>
      <c r="B35" t="s">
        <v>101</v>
      </c>
      <c r="C35" s="12">
        <v>103.72146666666667</v>
      </c>
      <c r="D35" s="12">
        <v>1.2857000000000001</v>
      </c>
      <c r="E35" t="s">
        <v>988</v>
      </c>
      <c r="F35" s="136" t="s">
        <v>930</v>
      </c>
    </row>
    <row r="36" spans="1:6" x14ac:dyDescent="0.25">
      <c r="A36" s="99">
        <f t="shared" si="0"/>
        <v>34</v>
      </c>
      <c r="B36" t="s">
        <v>102</v>
      </c>
      <c r="C36" s="12">
        <v>103.72343333333333</v>
      </c>
      <c r="D36" s="12">
        <v>1.2862333333333333</v>
      </c>
      <c r="E36" t="s">
        <v>988</v>
      </c>
      <c r="F36" s="136" t="s">
        <v>931</v>
      </c>
    </row>
    <row r="37" spans="1:6" x14ac:dyDescent="0.25">
      <c r="A37" s="99">
        <f t="shared" si="0"/>
        <v>35</v>
      </c>
      <c r="B37" t="s">
        <v>145</v>
      </c>
      <c r="C37" s="12">
        <v>103.72054166666666</v>
      </c>
      <c r="D37" s="12">
        <v>1.2862083333333332</v>
      </c>
      <c r="E37" t="s">
        <v>988</v>
      </c>
      <c r="F37" s="137" t="s">
        <v>929</v>
      </c>
    </row>
    <row r="38" spans="1:6" x14ac:dyDescent="0.25">
      <c r="A38" s="179">
        <f t="shared" si="0"/>
        <v>36</v>
      </c>
      <c r="B38" s="173" t="s">
        <v>150</v>
      </c>
      <c r="C38" s="12">
        <v>103.72033333333333</v>
      </c>
      <c r="D38" s="12">
        <v>1.2867999999999999</v>
      </c>
      <c r="E38" s="173"/>
      <c r="F38" s="183"/>
    </row>
    <row r="39" spans="1:6" x14ac:dyDescent="0.25">
      <c r="A39" s="99">
        <f t="shared" si="0"/>
        <v>37</v>
      </c>
      <c r="B39" t="s">
        <v>164</v>
      </c>
      <c r="C39" s="12">
        <v>103.71978333333334</v>
      </c>
      <c r="D39" s="12">
        <v>1.2895666666666665</v>
      </c>
      <c r="E39" t="s">
        <v>991</v>
      </c>
      <c r="F39" s="133" t="s">
        <v>935</v>
      </c>
    </row>
    <row r="40" spans="1:6" x14ac:dyDescent="0.25">
      <c r="A40" s="99">
        <f t="shared" si="0"/>
        <v>38</v>
      </c>
      <c r="B40" t="s">
        <v>168</v>
      </c>
      <c r="C40" s="12">
        <v>103.72051666666667</v>
      </c>
      <c r="D40" s="12">
        <v>1.2885833333333334</v>
      </c>
      <c r="E40" t="s">
        <v>991</v>
      </c>
      <c r="F40" s="133" t="s">
        <v>935</v>
      </c>
    </row>
    <row r="41" spans="1:6" x14ac:dyDescent="0.25">
      <c r="A41" s="99">
        <f t="shared" si="0"/>
        <v>39</v>
      </c>
      <c r="B41" t="s">
        <v>169</v>
      </c>
      <c r="C41" s="12">
        <v>103.72088333333333</v>
      </c>
      <c r="D41" s="12">
        <v>1.2877333333333334</v>
      </c>
      <c r="E41" t="s">
        <v>991</v>
      </c>
      <c r="F41" s="133" t="s">
        <v>935</v>
      </c>
    </row>
    <row r="42" spans="1:6" x14ac:dyDescent="0.25">
      <c r="A42" s="99">
        <f t="shared" si="0"/>
        <v>40</v>
      </c>
      <c r="B42" t="s">
        <v>182</v>
      </c>
      <c r="C42" s="12">
        <v>103.72088333333333</v>
      </c>
      <c r="D42" s="12">
        <v>1.2866</v>
      </c>
      <c r="E42" t="s">
        <v>991</v>
      </c>
      <c r="F42" s="133" t="s">
        <v>935</v>
      </c>
    </row>
    <row r="43" spans="1:6" x14ac:dyDescent="0.25">
      <c r="A43" s="179">
        <f t="shared" si="0"/>
        <v>41</v>
      </c>
      <c r="B43" s="173" t="s">
        <v>194</v>
      </c>
      <c r="C43" s="12">
        <v>103.71865</v>
      </c>
      <c r="D43" s="12">
        <v>1.2902499999999999</v>
      </c>
      <c r="E43" s="173"/>
      <c r="F43" s="183" t="s">
        <v>978</v>
      </c>
    </row>
    <row r="44" spans="1:6" x14ac:dyDescent="0.25">
      <c r="A44" s="179">
        <f t="shared" si="0"/>
        <v>42</v>
      </c>
      <c r="B44" s="173" t="s">
        <v>195</v>
      </c>
      <c r="C44" s="12">
        <v>103.7176</v>
      </c>
      <c r="D44" s="12">
        <v>1.2897666666666667</v>
      </c>
      <c r="E44" s="173"/>
      <c r="F44" s="183"/>
    </row>
    <row r="45" spans="1:6" x14ac:dyDescent="0.25">
      <c r="A45" s="179">
        <f t="shared" si="0"/>
        <v>43</v>
      </c>
      <c r="B45" s="173" t="s">
        <v>219</v>
      </c>
      <c r="C45" s="12">
        <v>103.7135</v>
      </c>
      <c r="D45" s="12">
        <v>1.2907166666666667</v>
      </c>
      <c r="E45" s="173"/>
      <c r="F45" s="183" t="s">
        <v>978</v>
      </c>
    </row>
    <row r="46" spans="1:6" x14ac:dyDescent="0.25">
      <c r="A46" s="99">
        <f t="shared" si="0"/>
        <v>44</v>
      </c>
      <c r="B46" t="s">
        <v>235</v>
      </c>
      <c r="C46" s="12">
        <v>103.70954999999999</v>
      </c>
      <c r="D46" s="12">
        <v>1.2911666666666666</v>
      </c>
      <c r="E46" t="s">
        <v>988</v>
      </c>
      <c r="F46" s="137" t="s">
        <v>932</v>
      </c>
    </row>
    <row r="47" spans="1:6" x14ac:dyDescent="0.25">
      <c r="A47" s="99">
        <f t="shared" si="0"/>
        <v>45</v>
      </c>
      <c r="B47" t="s">
        <v>240</v>
      </c>
      <c r="C47" s="12">
        <v>103.7111</v>
      </c>
      <c r="D47" s="12">
        <v>1.2901333333333334</v>
      </c>
      <c r="E47" t="s">
        <v>988</v>
      </c>
      <c r="F47" s="137" t="s">
        <v>932</v>
      </c>
    </row>
    <row r="48" spans="1:6" x14ac:dyDescent="0.25">
      <c r="A48" s="99">
        <f t="shared" si="0"/>
        <v>46</v>
      </c>
      <c r="B48" t="s">
        <v>84</v>
      </c>
      <c r="C48" s="12">
        <v>103.72301666666667</v>
      </c>
      <c r="D48" s="12">
        <v>1.2751000000000001</v>
      </c>
      <c r="E48" t="s">
        <v>988</v>
      </c>
      <c r="F48" s="136" t="s">
        <v>933</v>
      </c>
    </row>
    <row r="49" spans="1:6" x14ac:dyDescent="0.25">
      <c r="A49" s="179">
        <f t="shared" si="0"/>
        <v>47</v>
      </c>
      <c r="B49" s="173" t="s">
        <v>85</v>
      </c>
      <c r="C49" s="12">
        <v>103.72225</v>
      </c>
      <c r="D49" s="12">
        <v>1.2759333333333334</v>
      </c>
      <c r="E49" s="173"/>
      <c r="F49" s="183"/>
    </row>
    <row r="50" spans="1:6" x14ac:dyDescent="0.25">
      <c r="A50" s="99">
        <f t="shared" si="0"/>
        <v>48</v>
      </c>
      <c r="B50" t="s">
        <v>86</v>
      </c>
      <c r="C50" s="12">
        <v>103.72183333333334</v>
      </c>
      <c r="D50" s="12">
        <v>1.2763833333333334</v>
      </c>
      <c r="E50" t="s">
        <v>988</v>
      </c>
      <c r="F50" s="136" t="s">
        <v>934</v>
      </c>
    </row>
    <row r="51" spans="1:6" x14ac:dyDescent="0.25">
      <c r="A51" s="179">
        <f t="shared" si="0"/>
        <v>49</v>
      </c>
      <c r="B51" s="173" t="s">
        <v>87</v>
      </c>
      <c r="C51" s="12">
        <v>103.721</v>
      </c>
      <c r="D51" s="12">
        <v>1.27715</v>
      </c>
      <c r="E51" s="173"/>
      <c r="F51" s="183"/>
    </row>
    <row r="52" spans="1:6" x14ac:dyDescent="0.25">
      <c r="A52" s="179">
        <f t="shared" si="0"/>
        <v>50</v>
      </c>
      <c r="B52" s="173" t="s">
        <v>88</v>
      </c>
      <c r="C52" s="12">
        <v>103.71891666666667</v>
      </c>
      <c r="D52" s="12">
        <v>1.2792666666666666</v>
      </c>
      <c r="E52" s="173"/>
      <c r="F52" s="183"/>
    </row>
    <row r="53" spans="1:6" x14ac:dyDescent="0.25">
      <c r="A53" s="99">
        <f t="shared" si="0"/>
        <v>51</v>
      </c>
      <c r="B53" t="s">
        <v>89</v>
      </c>
      <c r="C53" s="12">
        <v>103.71925</v>
      </c>
      <c r="D53" s="12">
        <v>1.2796833333333333</v>
      </c>
      <c r="E53" t="s">
        <v>991</v>
      </c>
      <c r="F53" s="133" t="s">
        <v>935</v>
      </c>
    </row>
    <row r="54" spans="1:6" x14ac:dyDescent="0.25">
      <c r="A54" s="99">
        <f t="shared" si="0"/>
        <v>52</v>
      </c>
      <c r="B54" t="s">
        <v>94</v>
      </c>
      <c r="C54" s="12">
        <v>103.72199999999999</v>
      </c>
      <c r="D54" s="12">
        <v>1.2732333333333332</v>
      </c>
      <c r="E54" t="s">
        <v>988</v>
      </c>
      <c r="F54" s="136" t="s">
        <v>936</v>
      </c>
    </row>
    <row r="55" spans="1:6" x14ac:dyDescent="0.25">
      <c r="A55" s="99">
        <f t="shared" si="0"/>
        <v>53</v>
      </c>
      <c r="B55" t="s">
        <v>95</v>
      </c>
      <c r="C55" s="12">
        <v>103.72135</v>
      </c>
      <c r="D55" s="12">
        <v>1.2725500000000001</v>
      </c>
      <c r="E55" t="s">
        <v>988</v>
      </c>
      <c r="F55" s="136" t="s">
        <v>936</v>
      </c>
    </row>
    <row r="56" spans="1:6" x14ac:dyDescent="0.25">
      <c r="A56" s="179">
        <f t="shared" si="0"/>
        <v>54</v>
      </c>
      <c r="B56" s="173" t="s">
        <v>96</v>
      </c>
      <c r="C56" s="12">
        <v>103.72085</v>
      </c>
      <c r="D56" s="12">
        <v>1.2719833333333332</v>
      </c>
      <c r="E56" s="173"/>
      <c r="F56" s="183"/>
    </row>
    <row r="57" spans="1:6" x14ac:dyDescent="0.25">
      <c r="A57" s="179">
        <f t="shared" si="0"/>
        <v>55</v>
      </c>
      <c r="B57" s="173" t="s">
        <v>97</v>
      </c>
      <c r="C57" s="12">
        <v>103.72001666666667</v>
      </c>
      <c r="D57" s="12">
        <v>1.2710999999999999</v>
      </c>
      <c r="E57" s="173"/>
      <c r="F57" s="183"/>
    </row>
    <row r="58" spans="1:6" x14ac:dyDescent="0.25">
      <c r="A58" s="99">
        <f t="shared" si="0"/>
        <v>56</v>
      </c>
      <c r="B58" t="s">
        <v>98</v>
      </c>
      <c r="C58" s="12">
        <v>103.72043333333333</v>
      </c>
      <c r="D58" s="12">
        <v>1.2706500000000001</v>
      </c>
      <c r="E58" t="s">
        <v>988</v>
      </c>
      <c r="F58" s="136" t="s">
        <v>937</v>
      </c>
    </row>
    <row r="59" spans="1:6" x14ac:dyDescent="0.25">
      <c r="A59" s="179">
        <f t="shared" si="0"/>
        <v>57</v>
      </c>
      <c r="B59" s="173" t="s">
        <v>104</v>
      </c>
      <c r="C59" s="12">
        <v>103.72361666666667</v>
      </c>
      <c r="D59" s="12">
        <v>1.2705833333333334</v>
      </c>
      <c r="E59" s="173"/>
      <c r="F59" s="183"/>
    </row>
    <row r="60" spans="1:6" x14ac:dyDescent="0.25">
      <c r="A60" s="99">
        <f t="shared" si="0"/>
        <v>58</v>
      </c>
      <c r="B60" t="s">
        <v>81</v>
      </c>
      <c r="C60" s="12">
        <v>103.724</v>
      </c>
      <c r="D60" s="12">
        <v>1.2741833333333332</v>
      </c>
      <c r="E60" t="s">
        <v>988</v>
      </c>
      <c r="F60" s="136" t="s">
        <v>936</v>
      </c>
    </row>
    <row r="61" spans="1:6" x14ac:dyDescent="0.25">
      <c r="A61" s="99">
        <f t="shared" si="0"/>
        <v>59</v>
      </c>
      <c r="B61" t="s">
        <v>1006</v>
      </c>
      <c r="C61" s="12">
        <v>103.73005000000001</v>
      </c>
      <c r="D61" s="12">
        <v>1.2764666666666666</v>
      </c>
      <c r="E61" t="s">
        <v>988</v>
      </c>
      <c r="F61" s="136" t="s">
        <v>938</v>
      </c>
    </row>
    <row r="62" spans="1:6" x14ac:dyDescent="0.25">
      <c r="A62" s="99">
        <f t="shared" si="0"/>
        <v>60</v>
      </c>
      <c r="B62" t="s">
        <v>989</v>
      </c>
      <c r="C62" s="12">
        <v>103.73005000000001</v>
      </c>
      <c r="D62" s="12">
        <v>1.2764666666666666</v>
      </c>
      <c r="E62" t="s">
        <v>245</v>
      </c>
      <c r="F62" s="139" t="s">
        <v>980</v>
      </c>
    </row>
    <row r="63" spans="1:6" x14ac:dyDescent="0.25">
      <c r="A63" s="179">
        <f t="shared" si="0"/>
        <v>61</v>
      </c>
      <c r="B63" s="173" t="s">
        <v>212</v>
      </c>
      <c r="C63" s="12">
        <v>103.73471666666667</v>
      </c>
      <c r="D63" s="12">
        <v>1.2723333333333333</v>
      </c>
      <c r="E63" s="173"/>
      <c r="F63" s="183"/>
    </row>
    <row r="64" spans="1:6" x14ac:dyDescent="0.25">
      <c r="A64" s="99">
        <f t="shared" si="0"/>
        <v>62</v>
      </c>
      <c r="B64" t="s">
        <v>970</v>
      </c>
      <c r="C64" s="12">
        <v>103.73171666666667</v>
      </c>
      <c r="D64" s="12">
        <v>1.2785166666666665</v>
      </c>
      <c r="E64" t="s">
        <v>991</v>
      </c>
      <c r="F64" s="133" t="s">
        <v>935</v>
      </c>
    </row>
    <row r="65" spans="1:6" x14ac:dyDescent="0.25">
      <c r="A65" s="99">
        <f t="shared" si="0"/>
        <v>63</v>
      </c>
      <c r="B65" t="s">
        <v>225</v>
      </c>
      <c r="C65" s="12">
        <f>C62+(C63-C62)/3</f>
        <v>103.73160555555556</v>
      </c>
      <c r="D65" s="12">
        <f>D62+(D63-D62)/3</f>
        <v>1.2750888888888889</v>
      </c>
      <c r="E65" t="s">
        <v>991</v>
      </c>
      <c r="F65" s="133" t="s">
        <v>935</v>
      </c>
    </row>
    <row r="66" spans="1:6" x14ac:dyDescent="0.25">
      <c r="A66" s="99">
        <f t="shared" si="0"/>
        <v>64</v>
      </c>
      <c r="B66" t="s">
        <v>231</v>
      </c>
      <c r="C66" s="12">
        <f>C62+(C63-C62)*2/3</f>
        <v>103.73316111111112</v>
      </c>
      <c r="D66" s="12">
        <f>D62+(D63-D62)*2/3</f>
        <v>1.273711111111111</v>
      </c>
      <c r="E66" t="s">
        <v>991</v>
      </c>
      <c r="F66" s="133" t="s">
        <v>935</v>
      </c>
    </row>
    <row r="67" spans="1:6" x14ac:dyDescent="0.25">
      <c r="A67" s="99">
        <f t="shared" si="0"/>
        <v>65</v>
      </c>
      <c r="B67" t="s">
        <v>234</v>
      </c>
      <c r="C67" s="12">
        <v>103.72685</v>
      </c>
      <c r="D67" s="12">
        <v>1.2814666666666668</v>
      </c>
      <c r="E67" t="s">
        <v>990</v>
      </c>
      <c r="F67" s="134" t="s">
        <v>928</v>
      </c>
    </row>
    <row r="68" spans="1:6" x14ac:dyDescent="0.25">
      <c r="A68" s="99">
        <f t="shared" si="0"/>
        <v>66</v>
      </c>
      <c r="B68" t="s">
        <v>64</v>
      </c>
      <c r="C68" s="12">
        <v>103.71285</v>
      </c>
      <c r="D68" s="12">
        <v>1.27745</v>
      </c>
      <c r="E68" t="s">
        <v>988</v>
      </c>
      <c r="F68" s="136" t="s">
        <v>936</v>
      </c>
    </row>
    <row r="69" spans="1:6" x14ac:dyDescent="0.25">
      <c r="A69" s="99">
        <f t="shared" ref="A69:A132" si="1">A68+1</f>
        <v>67</v>
      </c>
      <c r="B69" t="s">
        <v>69</v>
      </c>
      <c r="C69" s="12">
        <v>103.71181666666666</v>
      </c>
      <c r="D69" s="12">
        <v>1.2789000000000001</v>
      </c>
      <c r="E69" t="s">
        <v>988</v>
      </c>
      <c r="F69" s="136" t="s">
        <v>936</v>
      </c>
    </row>
    <row r="70" spans="1:6" x14ac:dyDescent="0.25">
      <c r="A70" s="179">
        <f t="shared" si="1"/>
        <v>68</v>
      </c>
      <c r="B70" s="173" t="s">
        <v>73</v>
      </c>
      <c r="C70" s="12">
        <v>103.71455</v>
      </c>
      <c r="D70" s="12">
        <v>1.2781666666666667</v>
      </c>
      <c r="E70" s="173"/>
      <c r="F70" s="183"/>
    </row>
    <row r="71" spans="1:6" x14ac:dyDescent="0.25">
      <c r="A71" s="179">
        <f t="shared" si="1"/>
        <v>69</v>
      </c>
      <c r="B71" s="173" t="s">
        <v>77</v>
      </c>
      <c r="C71" s="12">
        <v>103.71603333333333</v>
      </c>
      <c r="D71" s="12">
        <v>1.2778</v>
      </c>
      <c r="E71" s="173"/>
      <c r="F71" s="183"/>
    </row>
    <row r="72" spans="1:6" x14ac:dyDescent="0.25">
      <c r="A72" s="99">
        <f t="shared" si="1"/>
        <v>70</v>
      </c>
      <c r="B72" t="s">
        <v>78</v>
      </c>
      <c r="C72" s="12">
        <v>103.71725000000001</v>
      </c>
      <c r="D72" s="12">
        <v>1.2784666666666666</v>
      </c>
      <c r="E72" t="s">
        <v>990</v>
      </c>
      <c r="F72" s="134" t="s">
        <v>928</v>
      </c>
    </row>
    <row r="73" spans="1:6" x14ac:dyDescent="0.25">
      <c r="A73" s="99">
        <f t="shared" si="1"/>
        <v>71</v>
      </c>
      <c r="B73" t="s">
        <v>79</v>
      </c>
      <c r="C73" s="12">
        <v>103.71668333333334</v>
      </c>
      <c r="D73" s="12">
        <v>1.27925</v>
      </c>
      <c r="E73" t="s">
        <v>988</v>
      </c>
      <c r="F73" s="136" t="s">
        <v>944</v>
      </c>
    </row>
    <row r="74" spans="1:6" x14ac:dyDescent="0.25">
      <c r="A74" s="179">
        <f t="shared" si="1"/>
        <v>72</v>
      </c>
      <c r="B74" s="173" t="s">
        <v>70</v>
      </c>
      <c r="C74" s="12">
        <v>103.71386666666666</v>
      </c>
      <c r="D74" s="12">
        <v>1.2763833333333334</v>
      </c>
      <c r="E74" s="173"/>
      <c r="F74" s="183"/>
    </row>
    <row r="75" spans="1:6" x14ac:dyDescent="0.25">
      <c r="A75" s="99">
        <f t="shared" si="1"/>
        <v>73</v>
      </c>
      <c r="B75" t="s">
        <v>71</v>
      </c>
      <c r="C75" s="12">
        <v>103.71346666666666</v>
      </c>
      <c r="D75" s="12">
        <v>1.2761666666666667</v>
      </c>
      <c r="E75" t="s">
        <v>988</v>
      </c>
      <c r="F75" s="136" t="s">
        <v>936</v>
      </c>
    </row>
    <row r="76" spans="1:6" x14ac:dyDescent="0.25">
      <c r="A76" s="179">
        <f t="shared" si="1"/>
        <v>74</v>
      </c>
      <c r="B76" s="173" t="s">
        <v>72</v>
      </c>
      <c r="C76" s="12">
        <v>103.71421666666667</v>
      </c>
      <c r="D76" s="12">
        <v>1.2752166666666667</v>
      </c>
      <c r="E76" s="173"/>
      <c r="F76" s="183"/>
    </row>
    <row r="77" spans="1:6" x14ac:dyDescent="0.25">
      <c r="A77" s="99">
        <f t="shared" si="1"/>
        <v>75</v>
      </c>
      <c r="B77" t="s">
        <v>74</v>
      </c>
      <c r="C77" s="12">
        <v>103.71501666666667</v>
      </c>
      <c r="D77" s="12">
        <v>1.2739500000000001</v>
      </c>
      <c r="E77" t="s">
        <v>988</v>
      </c>
      <c r="F77" s="136" t="s">
        <v>936</v>
      </c>
    </row>
    <row r="78" spans="1:6" x14ac:dyDescent="0.25">
      <c r="A78" s="99">
        <f t="shared" si="1"/>
        <v>76</v>
      </c>
      <c r="B78" t="s">
        <v>75</v>
      </c>
      <c r="C78" s="12">
        <v>103.7157</v>
      </c>
      <c r="D78" s="12">
        <v>1.2732833333333333</v>
      </c>
      <c r="E78" t="s">
        <v>988</v>
      </c>
      <c r="F78" s="136" t="s">
        <v>936</v>
      </c>
    </row>
    <row r="79" spans="1:6" x14ac:dyDescent="0.25">
      <c r="A79" s="99">
        <f t="shared" si="1"/>
        <v>77</v>
      </c>
      <c r="B79" t="s">
        <v>76</v>
      </c>
      <c r="C79" s="12">
        <v>103.71644999999999</v>
      </c>
      <c r="D79" s="12">
        <v>1.2729666666666666</v>
      </c>
      <c r="E79" t="s">
        <v>988</v>
      </c>
      <c r="F79" s="136" t="s">
        <v>936</v>
      </c>
    </row>
    <row r="80" spans="1:6" x14ac:dyDescent="0.25">
      <c r="A80" s="179">
        <f t="shared" si="1"/>
        <v>78</v>
      </c>
      <c r="B80" s="173" t="s">
        <v>65</v>
      </c>
      <c r="C80" s="12">
        <v>103.71208333333334</v>
      </c>
      <c r="D80" s="12">
        <v>1.2762833333333334</v>
      </c>
      <c r="E80" s="173"/>
      <c r="F80" s="183"/>
    </row>
    <row r="81" spans="1:6" x14ac:dyDescent="0.25">
      <c r="A81" s="179">
        <f t="shared" si="1"/>
        <v>79</v>
      </c>
      <c r="B81" s="173" t="s">
        <v>66</v>
      </c>
      <c r="C81" s="12">
        <v>103.71133333333333</v>
      </c>
      <c r="D81" s="12">
        <v>1.2769166666666667</v>
      </c>
      <c r="E81" s="173"/>
      <c r="F81" s="183"/>
    </row>
    <row r="82" spans="1:6" x14ac:dyDescent="0.25">
      <c r="A82" s="99">
        <f t="shared" si="1"/>
        <v>80</v>
      </c>
      <c r="B82" t="s">
        <v>68</v>
      </c>
      <c r="C82" s="12">
        <v>103.71098333333333</v>
      </c>
      <c r="D82" s="12">
        <v>1.2757499999999999</v>
      </c>
      <c r="E82" t="s">
        <v>988</v>
      </c>
      <c r="F82" s="136" t="s">
        <v>946</v>
      </c>
    </row>
    <row r="83" spans="1:6" x14ac:dyDescent="0.25">
      <c r="A83" s="179">
        <f t="shared" si="1"/>
        <v>81</v>
      </c>
      <c r="B83" s="173" t="s">
        <v>67</v>
      </c>
      <c r="C83" s="12">
        <v>103.70981666666667</v>
      </c>
      <c r="D83" s="12">
        <v>1.2747666666666666</v>
      </c>
      <c r="E83" s="173"/>
      <c r="F83" s="183"/>
    </row>
    <row r="84" spans="1:6" x14ac:dyDescent="0.25">
      <c r="A84" s="99">
        <f t="shared" si="1"/>
        <v>82</v>
      </c>
      <c r="B84" t="s">
        <v>81</v>
      </c>
      <c r="C84" s="12">
        <v>103.71513333333333</v>
      </c>
      <c r="D84" s="12">
        <v>1.2712666666666665</v>
      </c>
      <c r="E84" t="s">
        <v>988</v>
      </c>
      <c r="F84" s="136" t="s">
        <v>936</v>
      </c>
    </row>
    <row r="85" spans="1:6" x14ac:dyDescent="0.25">
      <c r="A85" s="99">
        <f t="shared" si="1"/>
        <v>83</v>
      </c>
      <c r="B85" t="s">
        <v>82</v>
      </c>
      <c r="C85" s="12">
        <v>103.71015</v>
      </c>
      <c r="D85" s="12">
        <v>1.2730166666666667</v>
      </c>
      <c r="E85" t="s">
        <v>990</v>
      </c>
      <c r="F85" s="134" t="s">
        <v>928</v>
      </c>
    </row>
    <row r="86" spans="1:6" x14ac:dyDescent="0.25">
      <c r="A86" s="99">
        <f t="shared" si="1"/>
        <v>84</v>
      </c>
      <c r="B86" t="s">
        <v>155</v>
      </c>
      <c r="C86" s="12">
        <v>103.7174</v>
      </c>
      <c r="D86" s="12">
        <v>1.2706166666666667</v>
      </c>
      <c r="E86" t="s">
        <v>988</v>
      </c>
      <c r="F86" s="137" t="s">
        <v>940</v>
      </c>
    </row>
    <row r="87" spans="1:6" x14ac:dyDescent="0.25">
      <c r="A87" s="99">
        <f t="shared" si="1"/>
        <v>85</v>
      </c>
      <c r="B87" t="s">
        <v>137</v>
      </c>
      <c r="C87" s="12">
        <v>103.709</v>
      </c>
      <c r="D87" s="12">
        <v>1.26285</v>
      </c>
      <c r="E87" t="s">
        <v>988</v>
      </c>
      <c r="F87" s="136" t="s">
        <v>941</v>
      </c>
    </row>
    <row r="88" spans="1:6" x14ac:dyDescent="0.25">
      <c r="A88" s="99">
        <f t="shared" si="1"/>
        <v>86</v>
      </c>
      <c r="B88" t="s">
        <v>157</v>
      </c>
      <c r="C88" s="12">
        <v>103.72735</v>
      </c>
      <c r="D88" s="12">
        <v>1.2660166666666668</v>
      </c>
      <c r="E88" t="s">
        <v>988</v>
      </c>
      <c r="F88" s="136" t="s">
        <v>936</v>
      </c>
    </row>
    <row r="89" spans="1:6" x14ac:dyDescent="0.25">
      <c r="A89" s="179">
        <f t="shared" si="1"/>
        <v>87</v>
      </c>
      <c r="B89" s="173" t="s">
        <v>156</v>
      </c>
      <c r="C89" s="12">
        <v>103.72750000000001</v>
      </c>
      <c r="D89" s="12">
        <v>1.2658666666666667</v>
      </c>
      <c r="E89" s="173"/>
      <c r="F89" s="183"/>
    </row>
    <row r="90" spans="1:6" x14ac:dyDescent="0.25">
      <c r="A90" s="99">
        <f t="shared" si="1"/>
        <v>88</v>
      </c>
      <c r="B90" t="s">
        <v>92</v>
      </c>
      <c r="C90" s="12">
        <v>103.72503333333333</v>
      </c>
      <c r="D90" s="12">
        <v>1.2668999999999999</v>
      </c>
      <c r="E90" t="s">
        <v>988</v>
      </c>
      <c r="F90" s="137" t="s">
        <v>940</v>
      </c>
    </row>
    <row r="91" spans="1:6" x14ac:dyDescent="0.25">
      <c r="A91" s="99">
        <f t="shared" si="1"/>
        <v>89</v>
      </c>
      <c r="B91" t="s">
        <v>100</v>
      </c>
      <c r="C91" s="12">
        <v>103.7165</v>
      </c>
      <c r="D91" s="12">
        <v>1.2669666666666668</v>
      </c>
      <c r="E91" t="s">
        <v>988</v>
      </c>
      <c r="F91" s="137" t="s">
        <v>942</v>
      </c>
    </row>
    <row r="92" spans="1:6" x14ac:dyDescent="0.25">
      <c r="A92" s="99">
        <f t="shared" si="1"/>
        <v>90</v>
      </c>
      <c r="B92" t="s">
        <v>103</v>
      </c>
      <c r="C92" s="12">
        <v>103.71546666666667</v>
      </c>
      <c r="D92" s="12">
        <v>1.2650333333333332</v>
      </c>
      <c r="E92" t="s">
        <v>988</v>
      </c>
      <c r="F92" s="137" t="s">
        <v>942</v>
      </c>
    </row>
    <row r="93" spans="1:6" x14ac:dyDescent="0.25">
      <c r="A93" s="179">
        <f t="shared" si="1"/>
        <v>91</v>
      </c>
      <c r="B93" s="173" t="s">
        <v>90</v>
      </c>
      <c r="C93" s="12">
        <v>103.72508333333333</v>
      </c>
      <c r="D93" s="12">
        <v>1.2633666666666667</v>
      </c>
      <c r="E93" s="173"/>
      <c r="F93" s="183"/>
    </row>
    <row r="94" spans="1:6" x14ac:dyDescent="0.25">
      <c r="A94" s="179">
        <f t="shared" si="1"/>
        <v>92</v>
      </c>
      <c r="B94" s="173" t="s">
        <v>91</v>
      </c>
      <c r="C94" s="12">
        <v>103.72476666666667</v>
      </c>
      <c r="D94" s="12">
        <v>1.2631000000000001</v>
      </c>
      <c r="E94" s="173"/>
      <c r="F94" s="183"/>
    </row>
    <row r="95" spans="1:6" x14ac:dyDescent="0.25">
      <c r="A95" s="99">
        <f t="shared" si="1"/>
        <v>93</v>
      </c>
      <c r="B95" t="s">
        <v>184</v>
      </c>
      <c r="C95" s="12">
        <v>103.70505</v>
      </c>
      <c r="D95" s="12">
        <v>1.2692666666666668</v>
      </c>
      <c r="E95" t="s">
        <v>988</v>
      </c>
      <c r="F95" s="137" t="s">
        <v>940</v>
      </c>
    </row>
    <row r="96" spans="1:6" x14ac:dyDescent="0.25">
      <c r="A96" s="99">
        <f t="shared" si="1"/>
        <v>94</v>
      </c>
      <c r="B96" t="s">
        <v>196</v>
      </c>
      <c r="C96" s="12">
        <v>103.7064</v>
      </c>
      <c r="D96" s="12">
        <v>1.2699333333333334</v>
      </c>
      <c r="E96" t="s">
        <v>988</v>
      </c>
      <c r="F96" s="137" t="s">
        <v>932</v>
      </c>
    </row>
    <row r="97" spans="1:6" x14ac:dyDescent="0.25">
      <c r="A97" s="99">
        <f t="shared" si="1"/>
        <v>95</v>
      </c>
      <c r="B97" t="s">
        <v>198</v>
      </c>
      <c r="C97" s="12">
        <v>103.70699999999999</v>
      </c>
      <c r="D97" s="12">
        <v>1.2690999999999999</v>
      </c>
      <c r="E97" t="s">
        <v>990</v>
      </c>
      <c r="F97" s="136" t="s">
        <v>947</v>
      </c>
    </row>
    <row r="98" spans="1:6" x14ac:dyDescent="0.25">
      <c r="A98" s="179">
        <f t="shared" si="1"/>
        <v>96</v>
      </c>
      <c r="B98" s="173" t="s">
        <v>197</v>
      </c>
      <c r="C98" s="12">
        <v>103.7086</v>
      </c>
      <c r="D98" s="12">
        <v>1.2697833333333333</v>
      </c>
      <c r="E98" s="173"/>
      <c r="F98" s="183"/>
    </row>
    <row r="99" spans="1:6" x14ac:dyDescent="0.25">
      <c r="A99" s="99">
        <f t="shared" si="1"/>
        <v>97</v>
      </c>
      <c r="B99" t="s">
        <v>133</v>
      </c>
      <c r="C99" s="12">
        <v>103.70435000000001</v>
      </c>
      <c r="D99" s="12">
        <v>1.2671166666666667</v>
      </c>
      <c r="E99" t="s">
        <v>990</v>
      </c>
      <c r="F99" s="134" t="s">
        <v>945</v>
      </c>
    </row>
    <row r="100" spans="1:6" x14ac:dyDescent="0.25">
      <c r="A100" s="99">
        <f t="shared" si="1"/>
        <v>98</v>
      </c>
      <c r="B100" t="s">
        <v>119</v>
      </c>
      <c r="C100" s="12">
        <v>103.70345</v>
      </c>
      <c r="D100" s="12">
        <v>1.2653166666666666</v>
      </c>
      <c r="E100" t="s">
        <v>988</v>
      </c>
      <c r="F100" s="136" t="s">
        <v>936</v>
      </c>
    </row>
    <row r="101" spans="1:6" x14ac:dyDescent="0.25">
      <c r="A101" s="99">
        <f t="shared" si="1"/>
        <v>99</v>
      </c>
      <c r="B101" t="s">
        <v>137</v>
      </c>
      <c r="C101" s="12">
        <v>103.70371666666666</v>
      </c>
      <c r="D101" s="12">
        <v>1.2646333333333333</v>
      </c>
      <c r="E101" t="s">
        <v>988</v>
      </c>
      <c r="F101" s="136" t="s">
        <v>936</v>
      </c>
    </row>
    <row r="102" spans="1:6" x14ac:dyDescent="0.25">
      <c r="A102" s="99">
        <f t="shared" si="1"/>
        <v>100</v>
      </c>
      <c r="B102" t="s">
        <v>149</v>
      </c>
      <c r="C102" s="12">
        <v>103.709</v>
      </c>
      <c r="D102" s="12">
        <v>1.26285</v>
      </c>
      <c r="E102" t="s">
        <v>988</v>
      </c>
      <c r="F102" s="136" t="s">
        <v>936</v>
      </c>
    </row>
    <row r="103" spans="1:6" x14ac:dyDescent="0.25">
      <c r="A103" s="99">
        <f t="shared" si="1"/>
        <v>101</v>
      </c>
      <c r="B103" t="s">
        <v>151</v>
      </c>
      <c r="C103" s="12">
        <v>103.70991666666667</v>
      </c>
      <c r="D103" s="12">
        <v>1.2622333333333333</v>
      </c>
      <c r="E103" t="s">
        <v>988</v>
      </c>
      <c r="F103" s="136" t="s">
        <v>949</v>
      </c>
    </row>
    <row r="104" spans="1:6" x14ac:dyDescent="0.25">
      <c r="A104" s="99">
        <f t="shared" si="1"/>
        <v>102</v>
      </c>
      <c r="B104" t="s">
        <v>152</v>
      </c>
      <c r="C104" s="12">
        <v>103.7107</v>
      </c>
      <c r="D104" s="12">
        <v>1.2616666666666667</v>
      </c>
      <c r="E104" t="s">
        <v>988</v>
      </c>
      <c r="F104" s="136" t="s">
        <v>951</v>
      </c>
    </row>
    <row r="105" spans="1:6" x14ac:dyDescent="0.25">
      <c r="A105" s="99">
        <f t="shared" si="1"/>
        <v>103</v>
      </c>
      <c r="B105" t="s">
        <v>105</v>
      </c>
      <c r="C105" s="12">
        <v>103.70133333333334</v>
      </c>
      <c r="D105" s="12">
        <v>1.2630333333333335</v>
      </c>
      <c r="E105" t="s">
        <v>988</v>
      </c>
      <c r="F105" s="136" t="s">
        <v>936</v>
      </c>
    </row>
    <row r="106" spans="1:6" x14ac:dyDescent="0.25">
      <c r="A106" s="99">
        <f t="shared" si="1"/>
        <v>104</v>
      </c>
      <c r="B106" t="s">
        <v>118</v>
      </c>
      <c r="C106" s="12">
        <f>(C18+C19)/2</f>
        <v>103.70189999999999</v>
      </c>
      <c r="D106" s="12">
        <f>(D18+D19)/2</f>
        <v>1.2642833333333332</v>
      </c>
      <c r="E106" t="s">
        <v>988</v>
      </c>
      <c r="F106" s="136" t="s">
        <v>948</v>
      </c>
    </row>
    <row r="107" spans="1:6" x14ac:dyDescent="0.25">
      <c r="A107" s="99">
        <f t="shared" si="1"/>
        <v>105</v>
      </c>
      <c r="B107" t="s">
        <v>119</v>
      </c>
      <c r="C107" s="12">
        <v>103.70208333333333</v>
      </c>
      <c r="D107" s="12">
        <v>1.2637499999999999</v>
      </c>
      <c r="E107" t="s">
        <v>988</v>
      </c>
      <c r="F107" s="136" t="s">
        <v>936</v>
      </c>
    </row>
    <row r="108" spans="1:6" x14ac:dyDescent="0.25">
      <c r="A108" s="99">
        <f t="shared" si="1"/>
        <v>106</v>
      </c>
      <c r="B108" t="s">
        <v>120</v>
      </c>
      <c r="C108" s="12">
        <v>103.70291666666667</v>
      </c>
      <c r="D108" s="12">
        <v>1.2636000000000001</v>
      </c>
      <c r="E108" t="s">
        <v>990</v>
      </c>
      <c r="F108" s="134" t="s">
        <v>928</v>
      </c>
    </row>
    <row r="109" spans="1:6" x14ac:dyDescent="0.25">
      <c r="A109" s="99">
        <f t="shared" si="1"/>
        <v>107</v>
      </c>
      <c r="B109" t="s">
        <v>121</v>
      </c>
      <c r="C109" s="12">
        <v>103.7022</v>
      </c>
      <c r="D109" s="12">
        <v>1.2645833333333334</v>
      </c>
      <c r="E109" t="s">
        <v>988</v>
      </c>
      <c r="F109" s="136" t="s">
        <v>936</v>
      </c>
    </row>
    <row r="110" spans="1:6" x14ac:dyDescent="0.25">
      <c r="A110" s="99">
        <f t="shared" si="1"/>
        <v>108</v>
      </c>
      <c r="B110" t="s">
        <v>111</v>
      </c>
      <c r="C110" s="12">
        <v>103.70091666666667</v>
      </c>
      <c r="D110" s="12">
        <v>1.2603333333333333</v>
      </c>
      <c r="E110" t="s">
        <v>990</v>
      </c>
      <c r="F110" s="134" t="s">
        <v>943</v>
      </c>
    </row>
    <row r="111" spans="1:6" x14ac:dyDescent="0.25">
      <c r="A111" s="99">
        <f t="shared" si="1"/>
        <v>109</v>
      </c>
      <c r="B111" t="s">
        <v>131</v>
      </c>
      <c r="C111" s="12">
        <v>103.70175</v>
      </c>
      <c r="D111" s="12">
        <v>1.2598</v>
      </c>
      <c r="E111" t="s">
        <v>990</v>
      </c>
      <c r="F111" s="134" t="s">
        <v>928</v>
      </c>
    </row>
    <row r="112" spans="1:6" x14ac:dyDescent="0.25">
      <c r="A112" s="99">
        <f t="shared" si="1"/>
        <v>110</v>
      </c>
      <c r="B112" t="s">
        <v>141</v>
      </c>
      <c r="C112" s="12">
        <v>103.70151666666666</v>
      </c>
      <c r="D112" s="12">
        <v>1.2564666666666666</v>
      </c>
      <c r="E112" t="s">
        <v>990</v>
      </c>
      <c r="F112" s="134" t="s">
        <v>928</v>
      </c>
    </row>
    <row r="113" spans="1:6" x14ac:dyDescent="0.25">
      <c r="A113" s="99">
        <f t="shared" si="1"/>
        <v>111</v>
      </c>
      <c r="B113" t="s">
        <v>143</v>
      </c>
      <c r="C113" s="12">
        <v>103.70233333333333</v>
      </c>
      <c r="D113" s="12">
        <v>1.25335</v>
      </c>
      <c r="E113" t="s">
        <v>990</v>
      </c>
      <c r="F113" s="134" t="s">
        <v>928</v>
      </c>
    </row>
    <row r="114" spans="1:6" x14ac:dyDescent="0.25">
      <c r="A114" s="179">
        <f t="shared" si="1"/>
        <v>112</v>
      </c>
      <c r="B114" s="173" t="s">
        <v>148</v>
      </c>
      <c r="C114" s="12">
        <v>103.70318333333333</v>
      </c>
      <c r="D114" s="12">
        <v>1.25905</v>
      </c>
      <c r="E114" s="173"/>
      <c r="F114" s="183"/>
    </row>
    <row r="115" spans="1:6" x14ac:dyDescent="0.25">
      <c r="A115" s="99">
        <f t="shared" si="1"/>
        <v>113</v>
      </c>
      <c r="B115" t="s">
        <v>153</v>
      </c>
      <c r="C115" s="12">
        <v>103.70395000000001</v>
      </c>
      <c r="D115" s="12">
        <v>1.2586999999999999</v>
      </c>
      <c r="E115" t="s">
        <v>988</v>
      </c>
      <c r="F115" s="136" t="s">
        <v>939</v>
      </c>
    </row>
    <row r="116" spans="1:6" x14ac:dyDescent="0.25">
      <c r="A116" s="99">
        <f t="shared" si="1"/>
        <v>114</v>
      </c>
      <c r="B116" t="s">
        <v>154</v>
      </c>
      <c r="C116" s="12">
        <v>103.70440000000001</v>
      </c>
      <c r="D116" s="12">
        <v>1.2593166666666666</v>
      </c>
      <c r="E116" t="s">
        <v>988</v>
      </c>
      <c r="F116" s="136" t="s">
        <v>954</v>
      </c>
    </row>
    <row r="117" spans="1:6" x14ac:dyDescent="0.25">
      <c r="A117" s="99">
        <f t="shared" si="1"/>
        <v>115</v>
      </c>
      <c r="B117" t="s">
        <v>158</v>
      </c>
      <c r="C117" s="12">
        <v>103.70538333333333</v>
      </c>
      <c r="D117" s="12">
        <v>1.2581333333333333</v>
      </c>
      <c r="E117" t="s">
        <v>988</v>
      </c>
      <c r="F117" s="136" t="s">
        <v>952</v>
      </c>
    </row>
    <row r="118" spans="1:6" x14ac:dyDescent="0.25">
      <c r="A118" s="99">
        <f t="shared" si="1"/>
        <v>116</v>
      </c>
      <c r="B118" t="s">
        <v>159</v>
      </c>
      <c r="C118" s="12">
        <v>103.70653333333334</v>
      </c>
      <c r="D118" s="12">
        <v>1.2583166666666667</v>
      </c>
      <c r="E118" t="s">
        <v>988</v>
      </c>
      <c r="F118" s="136" t="s">
        <v>955</v>
      </c>
    </row>
    <row r="119" spans="1:6" x14ac:dyDescent="0.25">
      <c r="A119" s="99">
        <f t="shared" si="1"/>
        <v>117</v>
      </c>
      <c r="B119" t="s">
        <v>160</v>
      </c>
      <c r="C119" s="12">
        <v>103.70653333333334</v>
      </c>
      <c r="D119" s="12">
        <v>1.2583166666666667</v>
      </c>
      <c r="E119" t="s">
        <v>988</v>
      </c>
      <c r="F119" s="136" t="s">
        <v>955</v>
      </c>
    </row>
    <row r="120" spans="1:6" x14ac:dyDescent="0.25">
      <c r="A120" s="99">
        <f t="shared" si="1"/>
        <v>118</v>
      </c>
      <c r="B120" t="s">
        <v>163</v>
      </c>
      <c r="C120" s="12">
        <v>103.70653333333334</v>
      </c>
      <c r="D120" s="12">
        <v>1.2583166666666667</v>
      </c>
      <c r="E120" t="s">
        <v>988</v>
      </c>
      <c r="F120" s="136" t="s">
        <v>955</v>
      </c>
    </row>
    <row r="121" spans="1:6" x14ac:dyDescent="0.25">
      <c r="A121" s="99">
        <f t="shared" si="1"/>
        <v>119</v>
      </c>
      <c r="B121" t="s">
        <v>162</v>
      </c>
      <c r="C121" s="12">
        <v>103.67861666666667</v>
      </c>
      <c r="D121" s="12">
        <v>1.2661833333333332</v>
      </c>
      <c r="E121" t="s">
        <v>991</v>
      </c>
      <c r="F121" s="133" t="s">
        <v>953</v>
      </c>
    </row>
    <row r="122" spans="1:6" x14ac:dyDescent="0.25">
      <c r="A122" s="99">
        <f t="shared" si="1"/>
        <v>120</v>
      </c>
      <c r="B122" t="s">
        <v>161</v>
      </c>
      <c r="C122" s="12">
        <v>103.68</v>
      </c>
      <c r="D122" s="12">
        <v>1.2626166666666667</v>
      </c>
      <c r="E122" t="s">
        <v>991</v>
      </c>
      <c r="F122" s="133" t="s">
        <v>953</v>
      </c>
    </row>
    <row r="123" spans="1:6" x14ac:dyDescent="0.25">
      <c r="A123" s="99">
        <f t="shared" si="1"/>
        <v>121</v>
      </c>
      <c r="B123" t="s">
        <v>110</v>
      </c>
      <c r="C123" s="12">
        <v>103.6994</v>
      </c>
      <c r="D123" s="12">
        <v>1.2600666666666667</v>
      </c>
      <c r="E123" t="s">
        <v>988</v>
      </c>
      <c r="F123" s="136" t="s">
        <v>956</v>
      </c>
    </row>
    <row r="124" spans="1:6" x14ac:dyDescent="0.25">
      <c r="A124" s="99">
        <f t="shared" si="1"/>
        <v>122</v>
      </c>
      <c r="B124" t="s">
        <v>124</v>
      </c>
      <c r="C124" s="12">
        <v>103.6981</v>
      </c>
      <c r="D124" s="12">
        <v>1.25935</v>
      </c>
      <c r="E124" t="s">
        <v>988</v>
      </c>
      <c r="F124" s="136" t="s">
        <v>956</v>
      </c>
    </row>
    <row r="125" spans="1:6" x14ac:dyDescent="0.25">
      <c r="A125" s="99">
        <f t="shared" si="1"/>
        <v>123</v>
      </c>
      <c r="B125" t="s">
        <v>128</v>
      </c>
      <c r="C125" s="12">
        <v>103.69851666666666</v>
      </c>
      <c r="D125" s="12">
        <v>1.2589333333333332</v>
      </c>
      <c r="E125" t="s">
        <v>991</v>
      </c>
      <c r="F125" s="133" t="s">
        <v>953</v>
      </c>
    </row>
    <row r="126" spans="1:6" x14ac:dyDescent="0.25">
      <c r="A126" s="99">
        <f t="shared" si="1"/>
        <v>124</v>
      </c>
      <c r="B126" t="s">
        <v>138</v>
      </c>
      <c r="C126" s="12">
        <v>103.69856666666666</v>
      </c>
      <c r="D126" s="12">
        <v>1.2546333333333333</v>
      </c>
      <c r="E126" t="s">
        <v>988</v>
      </c>
      <c r="F126" s="136" t="s">
        <v>936</v>
      </c>
    </row>
    <row r="127" spans="1:6" x14ac:dyDescent="0.25">
      <c r="A127" s="99">
        <f t="shared" si="1"/>
        <v>125</v>
      </c>
      <c r="B127" t="s">
        <v>139</v>
      </c>
      <c r="C127" s="12">
        <v>103.69889999999999</v>
      </c>
      <c r="D127" s="12">
        <v>1.2533833333333333</v>
      </c>
      <c r="E127" t="s">
        <v>988</v>
      </c>
      <c r="F127" s="136" t="s">
        <v>957</v>
      </c>
    </row>
    <row r="128" spans="1:6" x14ac:dyDescent="0.25">
      <c r="A128" s="99">
        <f t="shared" si="1"/>
        <v>126</v>
      </c>
      <c r="B128" t="s">
        <v>144</v>
      </c>
      <c r="C128" s="12">
        <v>103.69733333333333</v>
      </c>
      <c r="D128" s="12">
        <v>1.2534333333333334</v>
      </c>
      <c r="E128" t="s">
        <v>988</v>
      </c>
      <c r="F128" s="136" t="s">
        <v>957</v>
      </c>
    </row>
    <row r="129" spans="1:6" x14ac:dyDescent="0.25">
      <c r="A129" s="99">
        <f t="shared" si="1"/>
        <v>127</v>
      </c>
      <c r="B129" t="s">
        <v>106</v>
      </c>
      <c r="C129" s="12">
        <v>103.69886666666666</v>
      </c>
      <c r="D129" s="12">
        <v>1.2619333333333334</v>
      </c>
      <c r="E129" t="s">
        <v>988</v>
      </c>
      <c r="F129" s="136" t="s">
        <v>957</v>
      </c>
    </row>
    <row r="130" spans="1:6" x14ac:dyDescent="0.25">
      <c r="A130" s="99">
        <f t="shared" si="1"/>
        <v>128</v>
      </c>
      <c r="B130" t="s">
        <v>108</v>
      </c>
      <c r="C130" s="12">
        <v>103.6992</v>
      </c>
      <c r="D130" s="12">
        <v>1.2625333333333333</v>
      </c>
      <c r="E130" t="s">
        <v>988</v>
      </c>
      <c r="F130" s="136" t="s">
        <v>955</v>
      </c>
    </row>
    <row r="131" spans="1:6" x14ac:dyDescent="0.25">
      <c r="A131" s="179">
        <f t="shared" si="1"/>
        <v>129</v>
      </c>
      <c r="B131" s="173" t="s">
        <v>109</v>
      </c>
      <c r="C131" s="12">
        <v>103.69456666666666</v>
      </c>
      <c r="D131" s="12">
        <v>1.2598499999999999</v>
      </c>
      <c r="E131" s="173"/>
      <c r="F131" s="149" t="s">
        <v>978</v>
      </c>
    </row>
    <row r="132" spans="1:6" x14ac:dyDescent="0.25">
      <c r="A132" s="99">
        <f t="shared" si="1"/>
        <v>130</v>
      </c>
      <c r="B132" t="s">
        <v>118</v>
      </c>
      <c r="C132" s="12">
        <v>103.69821666666667</v>
      </c>
      <c r="D132" s="12">
        <v>1.2633666666666667</v>
      </c>
      <c r="E132" t="s">
        <v>988</v>
      </c>
      <c r="F132" s="136" t="s">
        <v>936</v>
      </c>
    </row>
    <row r="133" spans="1:6" x14ac:dyDescent="0.25">
      <c r="A133" s="99">
        <f t="shared" ref="A133:A196" si="2">A132+1</f>
        <v>131</v>
      </c>
      <c r="B133" t="s">
        <v>123</v>
      </c>
      <c r="C133" s="12">
        <v>103.69718333333333</v>
      </c>
      <c r="D133" s="12">
        <v>1.2631000000000001</v>
      </c>
      <c r="E133" t="s">
        <v>988</v>
      </c>
      <c r="F133" s="136" t="s">
        <v>936</v>
      </c>
    </row>
    <row r="134" spans="1:6" x14ac:dyDescent="0.25">
      <c r="A134" s="99">
        <f t="shared" si="2"/>
        <v>132</v>
      </c>
      <c r="B134" t="s">
        <v>125</v>
      </c>
      <c r="C134" s="12">
        <v>103.69506666666666</v>
      </c>
      <c r="D134" s="12">
        <v>1.2616666666666667</v>
      </c>
      <c r="E134" t="s">
        <v>988</v>
      </c>
      <c r="F134" s="136" t="s">
        <v>936</v>
      </c>
    </row>
    <row r="135" spans="1:6" x14ac:dyDescent="0.25">
      <c r="A135" s="99">
        <f t="shared" si="2"/>
        <v>133</v>
      </c>
      <c r="B135" t="s">
        <v>132</v>
      </c>
      <c r="C135" s="12">
        <v>103.69459999999999</v>
      </c>
      <c r="D135" s="12">
        <v>1.2652666666666668</v>
      </c>
      <c r="E135" t="s">
        <v>988</v>
      </c>
      <c r="F135" s="136" t="s">
        <v>960</v>
      </c>
    </row>
    <row r="136" spans="1:6" x14ac:dyDescent="0.25">
      <c r="A136" s="99">
        <f t="shared" si="2"/>
        <v>134</v>
      </c>
      <c r="B136" t="s">
        <v>184</v>
      </c>
      <c r="C136" s="12">
        <v>103.68975</v>
      </c>
      <c r="D136" s="12">
        <v>1.2667333333333333</v>
      </c>
      <c r="E136" t="s">
        <v>988</v>
      </c>
      <c r="F136" s="137" t="s">
        <v>932</v>
      </c>
    </row>
    <row r="137" spans="1:6" x14ac:dyDescent="0.25">
      <c r="A137" s="176">
        <f t="shared" si="2"/>
        <v>135</v>
      </c>
      <c r="B137" s="175" t="s">
        <v>129</v>
      </c>
      <c r="C137" s="12">
        <v>103.68385000000001</v>
      </c>
      <c r="D137" s="12">
        <v>1.2701166666666666</v>
      </c>
      <c r="F137" s="139"/>
    </row>
    <row r="138" spans="1:6" x14ac:dyDescent="0.25">
      <c r="A138" s="99">
        <f t="shared" si="2"/>
        <v>136</v>
      </c>
      <c r="B138" t="s">
        <v>130</v>
      </c>
      <c r="C138" s="12">
        <v>103.68318333333333</v>
      </c>
      <c r="D138" s="12">
        <v>1.2695833333333333</v>
      </c>
      <c r="E138" t="s">
        <v>991</v>
      </c>
      <c r="F138" s="133" t="s">
        <v>953</v>
      </c>
    </row>
    <row r="139" spans="1:6" x14ac:dyDescent="0.25">
      <c r="A139" s="99">
        <f t="shared" si="2"/>
        <v>137</v>
      </c>
      <c r="B139" t="s">
        <v>134</v>
      </c>
      <c r="C139" s="12">
        <v>103.68266666666666</v>
      </c>
      <c r="D139" s="12">
        <v>1.2703500000000001</v>
      </c>
      <c r="E139" t="s">
        <v>988</v>
      </c>
      <c r="F139" s="136" t="s">
        <v>936</v>
      </c>
    </row>
    <row r="140" spans="1:6" x14ac:dyDescent="0.25">
      <c r="A140" s="99">
        <f t="shared" si="2"/>
        <v>138</v>
      </c>
      <c r="B140" t="s">
        <v>135</v>
      </c>
      <c r="C140" s="12">
        <v>103.68174999999999</v>
      </c>
      <c r="D140" s="12">
        <v>1.2697333333333334</v>
      </c>
      <c r="E140" t="s">
        <v>988</v>
      </c>
      <c r="F140" s="136" t="s">
        <v>961</v>
      </c>
    </row>
    <row r="141" spans="1:6" x14ac:dyDescent="0.25">
      <c r="A141" s="179">
        <f t="shared" si="2"/>
        <v>139</v>
      </c>
      <c r="B141" s="173" t="s">
        <v>136</v>
      </c>
      <c r="C141" s="12">
        <v>103.68205</v>
      </c>
      <c r="D141" s="12">
        <v>1.2686999999999999</v>
      </c>
      <c r="E141" s="173"/>
      <c r="F141" s="183"/>
    </row>
    <row r="142" spans="1:6" x14ac:dyDescent="0.25">
      <c r="A142" s="179">
        <f t="shared" si="2"/>
        <v>140</v>
      </c>
      <c r="B142" s="173" t="s">
        <v>116</v>
      </c>
      <c r="C142" s="12">
        <v>103.67836666666666</v>
      </c>
      <c r="D142" s="12">
        <v>1.2755166666666666</v>
      </c>
      <c r="E142" s="173"/>
      <c r="F142" s="183"/>
    </row>
    <row r="143" spans="1:6" x14ac:dyDescent="0.25">
      <c r="A143" s="179">
        <f t="shared" si="2"/>
        <v>141</v>
      </c>
      <c r="B143" s="173" t="s">
        <v>117</v>
      </c>
      <c r="C143" s="12">
        <v>103.67443333333334</v>
      </c>
      <c r="D143" s="12">
        <v>1.2740833333333335</v>
      </c>
      <c r="E143" s="173"/>
      <c r="F143" s="183" t="s">
        <v>978</v>
      </c>
    </row>
    <row r="144" spans="1:6" x14ac:dyDescent="0.25">
      <c r="A144" s="179">
        <f t="shared" si="2"/>
        <v>142</v>
      </c>
      <c r="B144" s="173" t="s">
        <v>114</v>
      </c>
      <c r="C144" s="12">
        <v>103.67675</v>
      </c>
      <c r="D144" s="12">
        <v>1.2769333333333333</v>
      </c>
      <c r="E144" s="173"/>
      <c r="F144" s="183"/>
    </row>
    <row r="145" spans="1:6" x14ac:dyDescent="0.25">
      <c r="A145" s="179">
        <f t="shared" si="2"/>
        <v>143</v>
      </c>
      <c r="B145" s="173" t="s">
        <v>112</v>
      </c>
      <c r="C145" s="12">
        <v>103.6754</v>
      </c>
      <c r="D145" s="12">
        <v>1.2789000000000001</v>
      </c>
      <c r="E145" s="173"/>
      <c r="F145" s="183"/>
    </row>
    <row r="146" spans="1:6" x14ac:dyDescent="0.25">
      <c r="A146" s="179">
        <f t="shared" si="2"/>
        <v>144</v>
      </c>
      <c r="B146" s="173" t="s">
        <v>113</v>
      </c>
      <c r="C146" s="12">
        <v>103.67368333333333</v>
      </c>
      <c r="D146" s="12">
        <v>1.2796833333333333</v>
      </c>
      <c r="E146" s="173"/>
      <c r="F146" s="183"/>
    </row>
    <row r="147" spans="1:6" x14ac:dyDescent="0.25">
      <c r="A147" s="179">
        <f t="shared" si="2"/>
        <v>145</v>
      </c>
      <c r="B147" s="173" t="s">
        <v>142</v>
      </c>
      <c r="C147" s="12">
        <v>103.67789999999999</v>
      </c>
      <c r="D147" s="12">
        <v>1.2822499999999999</v>
      </c>
      <c r="E147" s="173"/>
      <c r="F147" s="183"/>
    </row>
    <row r="148" spans="1:6" x14ac:dyDescent="0.25">
      <c r="A148" s="99">
        <f t="shared" si="2"/>
        <v>146</v>
      </c>
      <c r="B148" t="s">
        <v>146</v>
      </c>
      <c r="C148" s="12">
        <v>103.67593333333333</v>
      </c>
      <c r="D148" s="12">
        <v>1.28285</v>
      </c>
      <c r="E148" t="s">
        <v>990</v>
      </c>
      <c r="F148" s="134" t="s">
        <v>928</v>
      </c>
    </row>
    <row r="149" spans="1:6" x14ac:dyDescent="0.25">
      <c r="A149" s="99">
        <f t="shared" si="2"/>
        <v>147</v>
      </c>
      <c r="B149" t="s">
        <v>213</v>
      </c>
      <c r="C149" s="12">
        <v>103.6795</v>
      </c>
      <c r="D149" s="12">
        <v>1.2814666666666668</v>
      </c>
      <c r="E149" t="s">
        <v>988</v>
      </c>
      <c r="F149" s="136" t="s">
        <v>936</v>
      </c>
    </row>
    <row r="150" spans="1:6" x14ac:dyDescent="0.25">
      <c r="A150" s="99">
        <f t="shared" si="2"/>
        <v>148</v>
      </c>
      <c r="B150" s="177" t="s">
        <v>992</v>
      </c>
      <c r="C150" s="12">
        <v>103.68015</v>
      </c>
      <c r="D150" s="12">
        <v>1.2812333333333332</v>
      </c>
      <c r="E150" s="177" t="s">
        <v>990</v>
      </c>
      <c r="F150" s="180" t="s">
        <v>950</v>
      </c>
    </row>
    <row r="151" spans="1:6" x14ac:dyDescent="0.25">
      <c r="A151" s="99">
        <f t="shared" si="2"/>
        <v>149</v>
      </c>
      <c r="B151" t="s">
        <v>241</v>
      </c>
      <c r="C151" s="12">
        <v>103.68371666666667</v>
      </c>
      <c r="D151" s="12">
        <v>1.2873333333333332</v>
      </c>
      <c r="E151" t="s">
        <v>988</v>
      </c>
      <c r="F151" s="137" t="s">
        <v>932</v>
      </c>
    </row>
    <row r="152" spans="1:6" x14ac:dyDescent="0.25">
      <c r="A152" s="179">
        <f t="shared" si="2"/>
        <v>150</v>
      </c>
      <c r="B152" s="173" t="s">
        <v>192</v>
      </c>
      <c r="C152" s="12">
        <v>103.68468333333334</v>
      </c>
      <c r="D152" s="12">
        <v>1.2517166666666666</v>
      </c>
      <c r="E152" s="173"/>
      <c r="F152" s="183" t="s">
        <v>978</v>
      </c>
    </row>
    <row r="153" spans="1:6" x14ac:dyDescent="0.25">
      <c r="A153" s="176">
        <f t="shared" si="2"/>
        <v>151</v>
      </c>
      <c r="B153" s="175" t="s">
        <v>193</v>
      </c>
      <c r="C153" s="12">
        <v>103.68556666666667</v>
      </c>
      <c r="D153" s="12">
        <v>1.2519333333333333</v>
      </c>
      <c r="F153" s="139"/>
    </row>
    <row r="154" spans="1:6" x14ac:dyDescent="0.25">
      <c r="A154" s="99">
        <f t="shared" si="2"/>
        <v>152</v>
      </c>
      <c r="B154" t="s">
        <v>204</v>
      </c>
      <c r="C154" s="12">
        <v>103.6848</v>
      </c>
      <c r="D154" s="12">
        <v>1.2493166666666666</v>
      </c>
      <c r="E154" s="177" t="s">
        <v>991</v>
      </c>
      <c r="F154" s="133" t="s">
        <v>953</v>
      </c>
    </row>
    <row r="155" spans="1:6" x14ac:dyDescent="0.25">
      <c r="A155" s="99">
        <f t="shared" si="2"/>
        <v>153</v>
      </c>
      <c r="B155" t="s">
        <v>220</v>
      </c>
      <c r="C155" s="12">
        <f>(C154+A156)/2</f>
        <v>128.8424</v>
      </c>
      <c r="D155" s="12" t="e">
        <f>(D154+B156)/2</f>
        <v>#VALUE!</v>
      </c>
      <c r="E155" s="177" t="s">
        <v>991</v>
      </c>
      <c r="F155" s="133" t="s">
        <v>953</v>
      </c>
    </row>
    <row r="156" spans="1:6" x14ac:dyDescent="0.25">
      <c r="A156" s="99">
        <f t="shared" si="2"/>
        <v>154</v>
      </c>
      <c r="B156" t="s">
        <v>222</v>
      </c>
      <c r="C156" s="12">
        <f>(C157+C158)/2</f>
        <v>103.6831</v>
      </c>
      <c r="D156" s="12">
        <f>(D157+D158)/2</f>
        <v>1.2388583333333334</v>
      </c>
      <c r="E156" s="177" t="s">
        <v>991</v>
      </c>
      <c r="F156" s="133" t="s">
        <v>953</v>
      </c>
    </row>
    <row r="157" spans="1:6" x14ac:dyDescent="0.25">
      <c r="A157" s="99">
        <f t="shared" si="2"/>
        <v>155</v>
      </c>
      <c r="B157" t="s">
        <v>224</v>
      </c>
      <c r="C157" s="12">
        <v>103.68606666666666</v>
      </c>
      <c r="D157" s="12">
        <v>1.2419500000000001</v>
      </c>
      <c r="E157" s="177" t="s">
        <v>991</v>
      </c>
      <c r="F157" s="133" t="s">
        <v>953</v>
      </c>
    </row>
    <row r="158" spans="1:6" x14ac:dyDescent="0.25">
      <c r="A158" s="99">
        <f t="shared" si="2"/>
        <v>156</v>
      </c>
      <c r="B158" s="173" t="s">
        <v>229</v>
      </c>
      <c r="C158" s="12">
        <v>103.68013333333333</v>
      </c>
      <c r="D158" s="12">
        <v>1.2357666666666667</v>
      </c>
      <c r="E158" s="173"/>
      <c r="F158" s="183"/>
    </row>
    <row r="159" spans="1:6" x14ac:dyDescent="0.25">
      <c r="A159" s="99">
        <f t="shared" si="2"/>
        <v>157</v>
      </c>
      <c r="B159" s="173" t="s">
        <v>230</v>
      </c>
      <c r="C159" s="12">
        <v>103.68013333333333</v>
      </c>
      <c r="D159" s="12">
        <v>1.2357666666666667</v>
      </c>
      <c r="E159" s="173"/>
      <c r="F159" s="183"/>
    </row>
    <row r="160" spans="1:6" x14ac:dyDescent="0.25">
      <c r="A160" s="99">
        <f t="shared" si="2"/>
        <v>158</v>
      </c>
      <c r="B160" t="s">
        <v>236</v>
      </c>
      <c r="C160" s="12">
        <v>103.67698333333334</v>
      </c>
      <c r="D160" s="12">
        <v>1.2259333333333333</v>
      </c>
      <c r="E160" s="177" t="s">
        <v>991</v>
      </c>
      <c r="F160" s="133" t="s">
        <v>953</v>
      </c>
    </row>
    <row r="161" spans="1:6" x14ac:dyDescent="0.25">
      <c r="A161" s="176">
        <f t="shared" si="2"/>
        <v>159</v>
      </c>
      <c r="B161" s="175" t="s">
        <v>232</v>
      </c>
      <c r="C161" s="12">
        <v>103.67728333333334</v>
      </c>
      <c r="D161" s="12">
        <v>1.23465</v>
      </c>
      <c r="E161" s="175"/>
      <c r="F161" s="185" t="s">
        <v>978</v>
      </c>
    </row>
    <row r="162" spans="1:6" x14ac:dyDescent="0.25">
      <c r="A162" s="176">
        <f t="shared" si="2"/>
        <v>160</v>
      </c>
      <c r="B162" s="175" t="s">
        <v>233</v>
      </c>
      <c r="C162" s="12">
        <v>103.67728333333334</v>
      </c>
      <c r="D162" s="12">
        <v>1.23465</v>
      </c>
      <c r="E162" s="175"/>
      <c r="F162" s="185" t="s">
        <v>978</v>
      </c>
    </row>
    <row r="163" spans="1:6" x14ac:dyDescent="0.25">
      <c r="A163" s="99">
        <f t="shared" si="2"/>
        <v>161</v>
      </c>
      <c r="B163" t="s">
        <v>237</v>
      </c>
      <c r="C163" s="12">
        <v>103.67553333333333</v>
      </c>
      <c r="D163" s="12">
        <v>1.2336333333333334</v>
      </c>
      <c r="E163" s="177" t="s">
        <v>991</v>
      </c>
      <c r="F163" s="133" t="s">
        <v>953</v>
      </c>
    </row>
    <row r="164" spans="1:6" x14ac:dyDescent="0.25">
      <c r="A164" s="99">
        <f t="shared" si="2"/>
        <v>162</v>
      </c>
      <c r="B164" t="s">
        <v>239</v>
      </c>
      <c r="C164" s="12">
        <v>103.67553333333333</v>
      </c>
      <c r="D164" s="12">
        <v>1.2336333333333334</v>
      </c>
      <c r="E164" s="177" t="s">
        <v>991</v>
      </c>
      <c r="F164" s="133" t="s">
        <v>953</v>
      </c>
    </row>
    <row r="165" spans="1:6" x14ac:dyDescent="0.25">
      <c r="A165" s="179">
        <f t="shared" si="2"/>
        <v>163</v>
      </c>
      <c r="B165" s="173" t="s">
        <v>238</v>
      </c>
      <c r="C165" s="12">
        <v>103.67413333333333</v>
      </c>
      <c r="D165" s="12">
        <v>1.2322500000000001</v>
      </c>
      <c r="E165" s="173"/>
      <c r="F165" s="183" t="s">
        <v>978</v>
      </c>
    </row>
    <row r="166" spans="1:6" x14ac:dyDescent="0.25">
      <c r="A166" s="179">
        <f t="shared" si="2"/>
        <v>164</v>
      </c>
      <c r="B166" s="173" t="s">
        <v>190</v>
      </c>
      <c r="C166" s="12">
        <v>103.67471666666667</v>
      </c>
      <c r="D166" s="12">
        <v>1.2527999999999999</v>
      </c>
      <c r="E166" s="173"/>
      <c r="F166" s="183" t="s">
        <v>978</v>
      </c>
    </row>
    <row r="167" spans="1:6" x14ac:dyDescent="0.25">
      <c r="A167" s="179">
        <f t="shared" si="2"/>
        <v>165</v>
      </c>
      <c r="B167" s="173" t="s">
        <v>207</v>
      </c>
      <c r="C167" s="12">
        <v>103.67556666666667</v>
      </c>
      <c r="D167" s="12">
        <v>1.2454833333333333</v>
      </c>
      <c r="E167" s="173"/>
      <c r="F167" s="183" t="s">
        <v>978</v>
      </c>
    </row>
    <row r="168" spans="1:6" x14ac:dyDescent="0.25">
      <c r="A168" s="179">
        <f t="shared" si="2"/>
        <v>166</v>
      </c>
      <c r="B168" s="173" t="s">
        <v>210</v>
      </c>
      <c r="C168" s="12">
        <v>103.6759</v>
      </c>
      <c r="D168" s="12">
        <v>1.2445333333333333</v>
      </c>
      <c r="E168" s="173"/>
      <c r="F168" s="183" t="s">
        <v>978</v>
      </c>
    </row>
    <row r="169" spans="1:6" x14ac:dyDescent="0.25">
      <c r="A169" s="179">
        <f t="shared" si="2"/>
        <v>167</v>
      </c>
      <c r="B169" s="173" t="s">
        <v>208</v>
      </c>
      <c r="C169" s="12">
        <v>103.67333333333333</v>
      </c>
      <c r="D169" s="12">
        <v>1.2453333333333334</v>
      </c>
      <c r="E169" s="173"/>
      <c r="F169" s="183" t="s">
        <v>978</v>
      </c>
    </row>
    <row r="170" spans="1:6" x14ac:dyDescent="0.25">
      <c r="A170" s="179">
        <f t="shared" si="2"/>
        <v>168</v>
      </c>
      <c r="B170" s="173" t="s">
        <v>209</v>
      </c>
      <c r="C170" s="12">
        <v>103.67400000000001</v>
      </c>
      <c r="D170" s="12">
        <v>1.2463833333333334</v>
      </c>
      <c r="E170" s="173"/>
      <c r="F170" s="183"/>
    </row>
    <row r="171" spans="1:6" x14ac:dyDescent="0.25">
      <c r="A171" s="179">
        <f t="shared" si="2"/>
        <v>169</v>
      </c>
      <c r="B171" s="173" t="s">
        <v>165</v>
      </c>
      <c r="C171" s="12">
        <v>103.66453333333334</v>
      </c>
      <c r="D171" s="12">
        <v>1.2666500000000001</v>
      </c>
      <c r="E171" s="173"/>
      <c r="F171" s="183" t="s">
        <v>978</v>
      </c>
    </row>
    <row r="172" spans="1:6" x14ac:dyDescent="0.25">
      <c r="A172" s="179">
        <f t="shared" si="2"/>
        <v>170</v>
      </c>
      <c r="B172" s="173" t="s">
        <v>167</v>
      </c>
      <c r="C172" s="12">
        <v>103.66445</v>
      </c>
      <c r="D172" s="12">
        <v>1.2656499999999999</v>
      </c>
      <c r="E172" s="173"/>
      <c r="F172" s="183" t="s">
        <v>978</v>
      </c>
    </row>
    <row r="173" spans="1:6" x14ac:dyDescent="0.25">
      <c r="A173" s="179">
        <f t="shared" si="2"/>
        <v>171</v>
      </c>
      <c r="B173" s="173" t="s">
        <v>170</v>
      </c>
      <c r="C173" s="12">
        <v>103.66566666666667</v>
      </c>
      <c r="D173" s="12">
        <v>1.2688666666666668</v>
      </c>
      <c r="E173" s="173"/>
      <c r="F173" s="183"/>
    </row>
    <row r="174" spans="1:6" x14ac:dyDescent="0.25">
      <c r="A174" s="179">
        <f t="shared" si="2"/>
        <v>172</v>
      </c>
      <c r="B174" s="173" t="s">
        <v>172</v>
      </c>
      <c r="C174" s="12">
        <v>103.66419999999999</v>
      </c>
      <c r="D174" s="12">
        <v>1.2707833333333334</v>
      </c>
      <c r="E174" s="173"/>
      <c r="F174" s="183"/>
    </row>
    <row r="175" spans="1:6" x14ac:dyDescent="0.25">
      <c r="A175" s="179">
        <f t="shared" si="2"/>
        <v>173</v>
      </c>
      <c r="B175" s="173" t="s">
        <v>174</v>
      </c>
      <c r="C175" s="12">
        <v>103.66213333333333</v>
      </c>
      <c r="D175" s="12">
        <v>1.27135</v>
      </c>
      <c r="E175" s="173"/>
      <c r="F175" s="183"/>
    </row>
    <row r="176" spans="1:6" x14ac:dyDescent="0.25">
      <c r="A176" s="99">
        <f t="shared" si="2"/>
        <v>174</v>
      </c>
      <c r="B176" t="s">
        <v>176</v>
      </c>
      <c r="C176" s="12">
        <v>103.66241666666667</v>
      </c>
      <c r="D176" s="12">
        <v>1.2705</v>
      </c>
      <c r="E176" t="s">
        <v>988</v>
      </c>
      <c r="F176" s="136" t="s">
        <v>936</v>
      </c>
    </row>
    <row r="177" spans="1:7" x14ac:dyDescent="0.25">
      <c r="A177" s="179">
        <f t="shared" si="2"/>
        <v>175</v>
      </c>
      <c r="B177" s="173" t="s">
        <v>175</v>
      </c>
      <c r="C177" s="12">
        <v>103.66131666666666</v>
      </c>
      <c r="D177" s="12">
        <v>1.2708166666666667</v>
      </c>
      <c r="E177" s="173"/>
      <c r="F177" s="183" t="s">
        <v>978</v>
      </c>
    </row>
    <row r="178" spans="1:7" x14ac:dyDescent="0.25">
      <c r="A178" s="99">
        <f t="shared" si="2"/>
        <v>176</v>
      </c>
      <c r="B178" t="s">
        <v>183</v>
      </c>
      <c r="C178" s="12">
        <v>103.66413333333334</v>
      </c>
      <c r="D178" s="12">
        <v>1.2728166666666667</v>
      </c>
      <c r="E178" s="177" t="s">
        <v>991</v>
      </c>
      <c r="F178" s="133" t="s">
        <v>953</v>
      </c>
      <c r="G178" t="s">
        <v>1000</v>
      </c>
    </row>
    <row r="179" spans="1:7" x14ac:dyDescent="0.25">
      <c r="A179" s="176">
        <f t="shared" si="2"/>
        <v>177</v>
      </c>
      <c r="B179" s="184" t="s">
        <v>189</v>
      </c>
      <c r="C179" s="12">
        <v>103.66716666666667</v>
      </c>
      <c r="D179" s="12">
        <v>1.2750666666666666</v>
      </c>
      <c r="E179" s="184" t="s">
        <v>1001</v>
      </c>
      <c r="F179" s="133" t="s">
        <v>963</v>
      </c>
    </row>
    <row r="180" spans="1:7" x14ac:dyDescent="0.25">
      <c r="A180" s="176">
        <f t="shared" si="2"/>
        <v>178</v>
      </c>
      <c r="B180" s="175" t="s">
        <v>188</v>
      </c>
      <c r="C180" s="12">
        <v>103.67008333333334</v>
      </c>
      <c r="D180" s="12">
        <v>1.2772166666666667</v>
      </c>
      <c r="E180" s="175"/>
      <c r="F180" s="133"/>
    </row>
    <row r="181" spans="1:7" x14ac:dyDescent="0.25">
      <c r="A181" s="176">
        <f t="shared" si="2"/>
        <v>179</v>
      </c>
      <c r="B181" s="184" t="s">
        <v>173</v>
      </c>
      <c r="C181" s="12">
        <v>103.67223333333334</v>
      </c>
      <c r="D181" s="12">
        <v>1.2711999999999999</v>
      </c>
      <c r="E181" s="184" t="s">
        <v>1001</v>
      </c>
      <c r="F181" s="133" t="s">
        <v>963</v>
      </c>
    </row>
    <row r="182" spans="1:7" x14ac:dyDescent="0.25">
      <c r="A182" s="99">
        <f t="shared" si="2"/>
        <v>180</v>
      </c>
      <c r="B182" t="s">
        <v>993</v>
      </c>
      <c r="C182" s="12">
        <f>(C181+C183)/2</f>
        <v>103.67314166666667</v>
      </c>
      <c r="D182" s="12">
        <f>(D181+D183)/2</f>
        <v>1.2718416666666665</v>
      </c>
      <c r="E182" s="177" t="s">
        <v>988</v>
      </c>
      <c r="F182" s="182" t="s">
        <v>936</v>
      </c>
    </row>
    <row r="183" spans="1:7" x14ac:dyDescent="0.25">
      <c r="A183" s="99">
        <f t="shared" si="2"/>
        <v>181</v>
      </c>
      <c r="B183" t="s">
        <v>178</v>
      </c>
      <c r="C183" s="12">
        <v>103.67404999999999</v>
      </c>
      <c r="D183" s="12">
        <v>1.2724833333333334</v>
      </c>
      <c r="E183" t="s">
        <v>988</v>
      </c>
      <c r="F183" s="136" t="s">
        <v>936</v>
      </c>
    </row>
    <row r="184" spans="1:7" x14ac:dyDescent="0.25">
      <c r="A184" s="176">
        <f t="shared" si="2"/>
        <v>182</v>
      </c>
      <c r="B184" s="184" t="s">
        <v>179</v>
      </c>
      <c r="C184" s="12">
        <v>103.67251666666667</v>
      </c>
      <c r="D184" s="12">
        <v>1.2664166666666667</v>
      </c>
      <c r="E184" s="184" t="s">
        <v>1001</v>
      </c>
      <c r="F184" s="133" t="s">
        <v>963</v>
      </c>
    </row>
    <row r="185" spans="1:7" x14ac:dyDescent="0.25">
      <c r="A185" s="179">
        <f t="shared" si="2"/>
        <v>183</v>
      </c>
      <c r="B185" s="173" t="s">
        <v>180</v>
      </c>
      <c r="C185" s="12">
        <v>103.67205</v>
      </c>
      <c r="D185" s="12">
        <v>1.2626999999999999</v>
      </c>
      <c r="E185" s="173"/>
      <c r="F185" s="183" t="s">
        <v>978</v>
      </c>
    </row>
    <row r="186" spans="1:7" x14ac:dyDescent="0.25">
      <c r="A186" s="179">
        <f t="shared" si="2"/>
        <v>184</v>
      </c>
      <c r="B186" s="173" t="s">
        <v>181</v>
      </c>
      <c r="C186" s="12">
        <v>103.67108333333333</v>
      </c>
      <c r="D186" s="12">
        <v>1.2619833333333332</v>
      </c>
      <c r="E186" s="173"/>
      <c r="F186" s="183"/>
    </row>
    <row r="187" spans="1:7" x14ac:dyDescent="0.25">
      <c r="A187" s="99">
        <f t="shared" si="2"/>
        <v>185</v>
      </c>
      <c r="B187" t="s">
        <v>171</v>
      </c>
      <c r="C187" s="12">
        <v>103.6673</v>
      </c>
      <c r="D187" s="12">
        <v>1.2661166666666666</v>
      </c>
      <c r="E187" t="s">
        <v>988</v>
      </c>
      <c r="F187" s="136" t="s">
        <v>941</v>
      </c>
    </row>
    <row r="188" spans="1:7" x14ac:dyDescent="0.25">
      <c r="A188" s="176">
        <f t="shared" si="2"/>
        <v>186</v>
      </c>
      <c r="B188" s="175" t="s">
        <v>185</v>
      </c>
      <c r="C188" s="12">
        <v>103.66883333333334</v>
      </c>
      <c r="D188" s="12">
        <v>1.2640166666666666</v>
      </c>
      <c r="E188" s="175"/>
      <c r="F188" s="174"/>
    </row>
    <row r="189" spans="1:7" x14ac:dyDescent="0.25">
      <c r="A189" s="176">
        <f t="shared" si="2"/>
        <v>187</v>
      </c>
      <c r="B189" s="175" t="s">
        <v>186</v>
      </c>
      <c r="C189" s="12">
        <v>103.67125</v>
      </c>
      <c r="D189" s="12">
        <v>1.2602166666666665</v>
      </c>
      <c r="E189" s="175"/>
      <c r="F189" s="174"/>
    </row>
    <row r="190" spans="1:7" x14ac:dyDescent="0.25">
      <c r="A190" s="176">
        <f t="shared" si="2"/>
        <v>188</v>
      </c>
      <c r="B190" s="175" t="s">
        <v>187</v>
      </c>
      <c r="C190" s="12">
        <v>103.67243333333333</v>
      </c>
      <c r="D190" s="12">
        <v>1.2576499999999999</v>
      </c>
      <c r="E190" s="175"/>
      <c r="F190" s="185" t="s">
        <v>978</v>
      </c>
    </row>
    <row r="191" spans="1:7" x14ac:dyDescent="0.25">
      <c r="A191" s="99">
        <f t="shared" si="2"/>
        <v>189</v>
      </c>
      <c r="B191" t="s">
        <v>199</v>
      </c>
      <c r="C191" s="12">
        <v>103.66913333333333</v>
      </c>
      <c r="D191" s="12">
        <v>1.2606666666666666</v>
      </c>
      <c r="E191" t="s">
        <v>988</v>
      </c>
      <c r="F191" s="136" t="s">
        <v>962</v>
      </c>
    </row>
    <row r="192" spans="1:7" x14ac:dyDescent="0.25">
      <c r="A192" s="99">
        <f t="shared" si="2"/>
        <v>190</v>
      </c>
      <c r="B192" t="s">
        <v>206</v>
      </c>
      <c r="C192" s="12">
        <v>103.66696666666667</v>
      </c>
      <c r="D192" s="12">
        <v>1.2589999999999999</v>
      </c>
      <c r="E192" t="s">
        <v>988</v>
      </c>
      <c r="F192" s="136" t="s">
        <v>958</v>
      </c>
    </row>
    <row r="193" spans="1:6" x14ac:dyDescent="0.25">
      <c r="A193" s="99">
        <f t="shared" si="2"/>
        <v>191</v>
      </c>
      <c r="B193" t="s">
        <v>131</v>
      </c>
      <c r="C193" s="12">
        <v>103.66845000000001</v>
      </c>
      <c r="D193" s="12">
        <v>1.2582666666666666</v>
      </c>
      <c r="E193" t="s">
        <v>990</v>
      </c>
      <c r="F193" s="134" t="s">
        <v>928</v>
      </c>
    </row>
    <row r="194" spans="1:6" x14ac:dyDescent="0.25">
      <c r="A194" s="179">
        <f t="shared" si="2"/>
        <v>192</v>
      </c>
      <c r="B194" s="173" t="s">
        <v>200</v>
      </c>
      <c r="C194" s="12">
        <v>103.66773333333333</v>
      </c>
      <c r="D194" s="12">
        <v>1.2562666666666666</v>
      </c>
      <c r="E194" s="173"/>
      <c r="F194" s="183" t="s">
        <v>978</v>
      </c>
    </row>
    <row r="195" spans="1:6" x14ac:dyDescent="0.25">
      <c r="A195" s="179">
        <f t="shared" si="2"/>
        <v>193</v>
      </c>
      <c r="B195" s="173" t="s">
        <v>201</v>
      </c>
      <c r="C195" s="12">
        <v>103.66934999999999</v>
      </c>
      <c r="D195" s="12">
        <v>1.2562166666666665</v>
      </c>
      <c r="E195" s="173"/>
      <c r="F195" s="183" t="s">
        <v>978</v>
      </c>
    </row>
    <row r="196" spans="1:6" x14ac:dyDescent="0.25">
      <c r="A196" s="179">
        <f t="shared" si="2"/>
        <v>194</v>
      </c>
      <c r="B196" s="173" t="s">
        <v>202</v>
      </c>
      <c r="C196" s="12">
        <v>103.66901666666666</v>
      </c>
      <c r="D196" s="12">
        <v>1.2537499999999999</v>
      </c>
      <c r="E196" s="173"/>
      <c r="F196" s="183"/>
    </row>
    <row r="197" spans="1:6" x14ac:dyDescent="0.25">
      <c r="A197" s="99">
        <f t="shared" ref="A197:A210" si="3">A196+1</f>
        <v>195</v>
      </c>
      <c r="B197" t="s">
        <v>147</v>
      </c>
      <c r="C197" s="12">
        <v>103.68108333333333</v>
      </c>
      <c r="D197" s="12">
        <v>1.2616791666666667</v>
      </c>
      <c r="E197" s="177" t="s">
        <v>991</v>
      </c>
      <c r="F197" s="133" t="s">
        <v>953</v>
      </c>
    </row>
    <row r="198" spans="1:6" x14ac:dyDescent="0.25">
      <c r="A198" s="179">
        <f t="shared" si="3"/>
        <v>196</v>
      </c>
      <c r="B198" s="173" t="s">
        <v>203</v>
      </c>
      <c r="C198" s="12">
        <v>103.68075</v>
      </c>
      <c r="D198" s="12">
        <v>1.2535499999999999</v>
      </c>
      <c r="E198" s="173"/>
      <c r="F198" s="183"/>
    </row>
    <row r="199" spans="1:6" x14ac:dyDescent="0.25">
      <c r="A199" s="179">
        <f t="shared" si="3"/>
        <v>197</v>
      </c>
      <c r="B199" s="173" t="s">
        <v>205</v>
      </c>
      <c r="C199" s="12">
        <v>103.68095</v>
      </c>
      <c r="D199" s="12">
        <v>1.2547666666666666</v>
      </c>
      <c r="E199" s="173"/>
      <c r="F199" s="183"/>
    </row>
    <row r="200" spans="1:6" x14ac:dyDescent="0.25">
      <c r="A200" s="99">
        <f t="shared" si="3"/>
        <v>198</v>
      </c>
      <c r="B200" t="s">
        <v>211</v>
      </c>
      <c r="C200" s="12">
        <v>103.67961666666666</v>
      </c>
      <c r="D200" s="12">
        <v>1.25695</v>
      </c>
      <c r="E200" s="177" t="s">
        <v>990</v>
      </c>
      <c r="F200" s="181" t="s">
        <v>928</v>
      </c>
    </row>
    <row r="201" spans="1:6" x14ac:dyDescent="0.25">
      <c r="A201" s="179">
        <f t="shared" si="3"/>
        <v>199</v>
      </c>
      <c r="B201" s="173" t="s">
        <v>214</v>
      </c>
      <c r="C201" s="12">
        <v>103.67908333333334</v>
      </c>
      <c r="D201" s="12">
        <v>1.2575333333333334</v>
      </c>
      <c r="E201" s="173"/>
      <c r="F201" s="183"/>
    </row>
    <row r="202" spans="1:6" x14ac:dyDescent="0.25">
      <c r="A202" s="99">
        <f t="shared" si="3"/>
        <v>200</v>
      </c>
      <c r="B202" t="s">
        <v>216</v>
      </c>
      <c r="C202" s="12">
        <v>103.67633333333333</v>
      </c>
      <c r="D202" s="12">
        <v>1.2593166666666666</v>
      </c>
      <c r="E202" t="s">
        <v>988</v>
      </c>
      <c r="F202" s="136" t="s">
        <v>941</v>
      </c>
    </row>
    <row r="203" spans="1:6" x14ac:dyDescent="0.25">
      <c r="A203" s="99">
        <f t="shared" si="3"/>
        <v>201</v>
      </c>
      <c r="B203" t="s">
        <v>218</v>
      </c>
      <c r="C203" s="12">
        <v>103.67491666666666</v>
      </c>
      <c r="D203" s="12">
        <v>1.2615499999999999</v>
      </c>
      <c r="E203" t="s">
        <v>990</v>
      </c>
      <c r="F203" s="134" t="s">
        <v>928</v>
      </c>
    </row>
    <row r="204" spans="1:6" x14ac:dyDescent="0.25">
      <c r="A204" s="179">
        <f t="shared" si="3"/>
        <v>202</v>
      </c>
      <c r="B204" s="173" t="s">
        <v>217</v>
      </c>
      <c r="C204" s="12">
        <v>103.67415</v>
      </c>
      <c r="D204" s="12">
        <v>1.2624</v>
      </c>
      <c r="E204" s="173"/>
      <c r="F204" s="183"/>
    </row>
    <row r="205" spans="1:6" x14ac:dyDescent="0.25">
      <c r="A205" s="99">
        <f t="shared" si="3"/>
        <v>203</v>
      </c>
      <c r="B205" t="s">
        <v>221</v>
      </c>
      <c r="C205" s="12">
        <v>103.67751666666666</v>
      </c>
      <c r="D205" s="12">
        <v>1.2599666666666667</v>
      </c>
      <c r="E205" t="s">
        <v>988</v>
      </c>
      <c r="F205" s="136" t="s">
        <v>959</v>
      </c>
    </row>
    <row r="206" spans="1:6" x14ac:dyDescent="0.25">
      <c r="A206" s="99">
        <f t="shared" si="3"/>
        <v>204</v>
      </c>
      <c r="B206" t="s">
        <v>223</v>
      </c>
      <c r="C206" s="12">
        <v>103.67781666666667</v>
      </c>
      <c r="D206" s="12">
        <v>1.2613000000000001</v>
      </c>
      <c r="E206" t="s">
        <v>990</v>
      </c>
      <c r="F206" s="133" t="s">
        <v>950</v>
      </c>
    </row>
    <row r="207" spans="1:6" x14ac:dyDescent="0.25">
      <c r="A207" s="99">
        <f t="shared" si="3"/>
        <v>205</v>
      </c>
      <c r="B207" t="s">
        <v>226</v>
      </c>
      <c r="C207" s="12">
        <v>103.67928333333333</v>
      </c>
      <c r="D207" s="12">
        <v>1.2627833333333334</v>
      </c>
      <c r="E207" t="s">
        <v>990</v>
      </c>
      <c r="F207" s="133" t="s">
        <v>950</v>
      </c>
    </row>
    <row r="208" spans="1:6" x14ac:dyDescent="0.25">
      <c r="A208" s="99">
        <f t="shared" si="3"/>
        <v>206</v>
      </c>
      <c r="B208" t="s">
        <v>228</v>
      </c>
      <c r="C208" s="12">
        <f>(C13+C21)/2</f>
        <v>103.68370833333333</v>
      </c>
      <c r="D208" s="12">
        <f>(D13+D21)/2</f>
        <v>1.2607666666666666</v>
      </c>
      <c r="E208" s="177" t="s">
        <v>991</v>
      </c>
      <c r="F208" s="133" t="s">
        <v>953</v>
      </c>
    </row>
    <row r="209" spans="1:6" x14ac:dyDescent="0.25">
      <c r="A209" s="179">
        <f t="shared" si="3"/>
        <v>207</v>
      </c>
      <c r="B209" s="173" t="s">
        <v>227</v>
      </c>
      <c r="C209" s="12">
        <v>103.68433333333333</v>
      </c>
      <c r="D209" s="12">
        <v>1.2588666666666666</v>
      </c>
      <c r="E209" s="173"/>
      <c r="F209" s="183" t="s">
        <v>978</v>
      </c>
    </row>
    <row r="210" spans="1:6" x14ac:dyDescent="0.25">
      <c r="A210" s="99">
        <f t="shared" si="3"/>
        <v>208</v>
      </c>
      <c r="B210" t="s">
        <v>50</v>
      </c>
      <c r="C210" s="12">
        <v>103.66601666666666</v>
      </c>
      <c r="D210" s="12">
        <v>1.2667666666666666</v>
      </c>
      <c r="E210" t="s">
        <v>245</v>
      </c>
      <c r="F210" s="135" t="s">
        <v>980</v>
      </c>
    </row>
    <row r="211" spans="1:6" x14ac:dyDescent="0.25">
      <c r="B211" t="s">
        <v>998</v>
      </c>
    </row>
    <row r="212" spans="1:6" x14ac:dyDescent="0.25">
      <c r="B212" t="s">
        <v>999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09"/>
  <sheetViews>
    <sheetView workbookViewId="0">
      <selection activeCell="E209" sqref="E2:E209"/>
    </sheetView>
  </sheetViews>
  <sheetFormatPr defaultRowHeight="15" x14ac:dyDescent="0.25"/>
  <cols>
    <col min="2" max="2" width="44.42578125" bestFit="1" customWidth="1"/>
    <col min="3" max="4" width="12" bestFit="1" customWidth="1"/>
    <col min="5" max="5" width="35.85546875" bestFit="1" customWidth="1"/>
    <col min="6" max="6" width="5.28515625" bestFit="1" customWidth="1"/>
  </cols>
  <sheetData>
    <row r="1" spans="1:21" x14ac:dyDescent="0.25">
      <c r="A1" s="11" t="s">
        <v>0</v>
      </c>
      <c r="B1" s="156" t="s">
        <v>45</v>
      </c>
      <c r="C1" s="55" t="s">
        <v>296</v>
      </c>
      <c r="D1" s="55" t="s">
        <v>295</v>
      </c>
      <c r="E1" s="55" t="s">
        <v>971</v>
      </c>
      <c r="F1" s="55" t="s">
        <v>21</v>
      </c>
      <c r="H1" s="11" t="s">
        <v>982</v>
      </c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</row>
    <row r="2" spans="1:21" x14ac:dyDescent="0.25">
      <c r="A2" s="3">
        <v>1</v>
      </c>
      <c r="B2" s="4" t="s">
        <v>47</v>
      </c>
      <c r="C2" s="12">
        <v>103.71158333333334</v>
      </c>
      <c r="D2" s="12">
        <v>1.2962666666666667</v>
      </c>
      <c r="E2" s="135" t="s">
        <v>979</v>
      </c>
      <c r="F2" s="157">
        <v>-1</v>
      </c>
      <c r="H2" s="170" t="s">
        <v>981</v>
      </c>
      <c r="I2" s="171"/>
      <c r="J2" s="171"/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2"/>
    </row>
    <row r="3" spans="1:21" x14ac:dyDescent="0.25">
      <c r="A3" s="72">
        <f>A2+1</f>
        <v>2</v>
      </c>
      <c r="B3" s="73" t="s">
        <v>917</v>
      </c>
      <c r="C3" s="12">
        <v>103.67403333333333</v>
      </c>
      <c r="D3" s="12">
        <v>1.2820333333333334</v>
      </c>
      <c r="E3" s="135" t="s">
        <v>979</v>
      </c>
      <c r="F3" s="157">
        <v>-1</v>
      </c>
      <c r="H3" s="168" t="s">
        <v>983</v>
      </c>
      <c r="I3" s="164"/>
      <c r="J3" s="164"/>
      <c r="K3" s="164"/>
      <c r="L3" s="164"/>
      <c r="M3" s="164"/>
      <c r="N3" s="164"/>
      <c r="O3" s="164"/>
      <c r="P3" s="164"/>
      <c r="Q3" s="164"/>
      <c r="R3" s="164"/>
      <c r="S3" s="164"/>
      <c r="T3" s="164"/>
      <c r="U3" s="165"/>
    </row>
    <row r="4" spans="1:21" x14ac:dyDescent="0.25">
      <c r="A4" s="80">
        <f t="shared" ref="A4:A67" si="0">A3+1</f>
        <v>3</v>
      </c>
      <c r="B4" s="5" t="s">
        <v>921</v>
      </c>
      <c r="C4" s="12">
        <v>103.7252</v>
      </c>
      <c r="D4" s="12">
        <v>1.2841</v>
      </c>
      <c r="E4" s="135" t="s">
        <v>979</v>
      </c>
      <c r="F4" s="157">
        <v>-1</v>
      </c>
      <c r="H4" s="168" t="s">
        <v>984</v>
      </c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5"/>
    </row>
    <row r="5" spans="1:21" x14ac:dyDescent="0.25">
      <c r="A5" s="76">
        <f t="shared" si="0"/>
        <v>4</v>
      </c>
      <c r="B5" s="77" t="s">
        <v>923</v>
      </c>
      <c r="C5" s="12">
        <v>103.7028</v>
      </c>
      <c r="D5" s="12">
        <v>1.2541500000000001</v>
      </c>
      <c r="E5" s="135" t="s">
        <v>979</v>
      </c>
      <c r="F5" s="157">
        <v>-1</v>
      </c>
      <c r="H5" s="168" t="s">
        <v>985</v>
      </c>
      <c r="I5" s="164"/>
      <c r="J5" s="164"/>
      <c r="K5" s="164"/>
      <c r="L5" s="164"/>
      <c r="M5" s="164"/>
      <c r="N5" s="164"/>
      <c r="O5" s="164"/>
      <c r="P5" s="164"/>
      <c r="Q5" s="164"/>
      <c r="R5" s="164"/>
      <c r="S5" s="164"/>
      <c r="T5" s="164"/>
      <c r="U5" s="165"/>
    </row>
    <row r="6" spans="1:21" x14ac:dyDescent="0.25">
      <c r="A6" s="70">
        <f t="shared" si="0"/>
        <v>5</v>
      </c>
      <c r="B6" s="14" t="s">
        <v>46</v>
      </c>
      <c r="C6" s="12">
        <v>103.72716666666666</v>
      </c>
      <c r="D6" s="12">
        <v>1.2794833333333333</v>
      </c>
      <c r="E6" s="135" t="s">
        <v>979</v>
      </c>
      <c r="F6" s="157">
        <v>-1</v>
      </c>
      <c r="H6" s="169" t="s">
        <v>986</v>
      </c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7"/>
    </row>
    <row r="7" spans="1:21" x14ac:dyDescent="0.25">
      <c r="A7" s="99">
        <f t="shared" si="0"/>
        <v>6</v>
      </c>
      <c r="B7" s="5" t="s">
        <v>48</v>
      </c>
      <c r="C7" s="12">
        <v>103.71896666666666</v>
      </c>
      <c r="D7" s="12">
        <v>1.2803333333333333</v>
      </c>
      <c r="E7" s="135" t="s">
        <v>980</v>
      </c>
      <c r="F7" s="157">
        <v>-1</v>
      </c>
    </row>
    <row r="8" spans="1:21" x14ac:dyDescent="0.25">
      <c r="A8" s="99">
        <f t="shared" si="0"/>
        <v>7</v>
      </c>
      <c r="B8" s="5" t="s">
        <v>49</v>
      </c>
      <c r="C8" s="12">
        <v>103.70396666666667</v>
      </c>
      <c r="D8" s="12">
        <v>1.268</v>
      </c>
      <c r="E8" s="135" t="s">
        <v>980</v>
      </c>
      <c r="F8" s="157">
        <v>-1</v>
      </c>
    </row>
    <row r="9" spans="1:21" x14ac:dyDescent="0.25">
      <c r="A9" s="99">
        <f t="shared" si="0"/>
        <v>8</v>
      </c>
      <c r="B9" s="5" t="s">
        <v>50</v>
      </c>
      <c r="C9" s="12">
        <v>103.68503333333334</v>
      </c>
      <c r="D9" s="12">
        <v>1.2709166666666667</v>
      </c>
      <c r="E9" s="135" t="s">
        <v>980</v>
      </c>
      <c r="F9" s="157">
        <v>-1</v>
      </c>
    </row>
    <row r="10" spans="1:21" x14ac:dyDescent="0.25">
      <c r="A10" s="99">
        <f t="shared" si="0"/>
        <v>9</v>
      </c>
      <c r="B10" s="5" t="s">
        <v>51</v>
      </c>
      <c r="C10" s="12">
        <v>103.71896666666666</v>
      </c>
      <c r="D10" s="12">
        <v>1.2803333333333333</v>
      </c>
      <c r="E10" s="135" t="s">
        <v>980</v>
      </c>
      <c r="F10" s="157">
        <v>-1</v>
      </c>
    </row>
    <row r="11" spans="1:21" x14ac:dyDescent="0.25">
      <c r="A11" s="99">
        <f t="shared" si="0"/>
        <v>10</v>
      </c>
      <c r="B11" s="5" t="s">
        <v>52</v>
      </c>
      <c r="C11" s="12">
        <v>103.70396666666667</v>
      </c>
      <c r="D11" s="12">
        <v>1.268</v>
      </c>
      <c r="E11" s="135" t="s">
        <v>980</v>
      </c>
      <c r="F11" s="157">
        <v>-1</v>
      </c>
    </row>
    <row r="12" spans="1:21" x14ac:dyDescent="0.25">
      <c r="A12" s="99">
        <f t="shared" si="0"/>
        <v>11</v>
      </c>
      <c r="B12" s="5" t="s">
        <v>58</v>
      </c>
      <c r="C12" s="12">
        <v>103.68503333333334</v>
      </c>
      <c r="D12" s="12">
        <v>1.2709166666666667</v>
      </c>
      <c r="E12" s="135" t="s">
        <v>980</v>
      </c>
      <c r="F12" s="157">
        <v>-1</v>
      </c>
    </row>
    <row r="13" spans="1:21" x14ac:dyDescent="0.25">
      <c r="A13" s="99">
        <f t="shared" si="0"/>
        <v>12</v>
      </c>
      <c r="B13" s="5" t="s">
        <v>55</v>
      </c>
      <c r="C13" s="12">
        <v>103.72075</v>
      </c>
      <c r="D13" s="12">
        <v>1.2856166666666666</v>
      </c>
      <c r="E13" s="135" t="s">
        <v>980</v>
      </c>
      <c r="F13" s="157">
        <v>-1</v>
      </c>
    </row>
    <row r="14" spans="1:21" x14ac:dyDescent="0.25">
      <c r="A14" s="99">
        <f t="shared" si="0"/>
        <v>13</v>
      </c>
      <c r="B14" s="5" t="s">
        <v>57</v>
      </c>
      <c r="C14" s="12">
        <v>103.72351666666667</v>
      </c>
      <c r="D14" s="12">
        <v>1.2746333333333333</v>
      </c>
      <c r="E14" s="135" t="s">
        <v>980</v>
      </c>
      <c r="F14" s="157">
        <v>-1</v>
      </c>
    </row>
    <row r="15" spans="1:21" x14ac:dyDescent="0.25">
      <c r="A15" s="99">
        <f t="shared" si="0"/>
        <v>14</v>
      </c>
      <c r="B15" s="5" t="s">
        <v>54</v>
      </c>
      <c r="C15" s="12">
        <v>103.71325</v>
      </c>
      <c r="D15" s="12">
        <v>1.2770833333333333</v>
      </c>
      <c r="E15" s="135" t="s">
        <v>980</v>
      </c>
      <c r="F15" s="157">
        <v>-1</v>
      </c>
    </row>
    <row r="16" spans="1:21" x14ac:dyDescent="0.25">
      <c r="A16" s="99">
        <f t="shared" si="0"/>
        <v>15</v>
      </c>
      <c r="B16" s="5" t="s">
        <v>56</v>
      </c>
      <c r="C16" s="12">
        <v>103.71693333333333</v>
      </c>
      <c r="D16" s="12">
        <v>1.2707666666666666</v>
      </c>
      <c r="E16" s="135" t="s">
        <v>980</v>
      </c>
      <c r="F16" s="157">
        <v>-1</v>
      </c>
    </row>
    <row r="17" spans="1:6" x14ac:dyDescent="0.25">
      <c r="A17" s="99">
        <f t="shared" si="0"/>
        <v>16</v>
      </c>
      <c r="B17" s="5" t="s">
        <v>53</v>
      </c>
      <c r="C17" s="12">
        <v>103.70356666666666</v>
      </c>
      <c r="D17" s="12">
        <v>1.26755</v>
      </c>
      <c r="E17" s="135" t="s">
        <v>980</v>
      </c>
      <c r="F17" s="157">
        <v>-1</v>
      </c>
    </row>
    <row r="18" spans="1:6" x14ac:dyDescent="0.25">
      <c r="A18" s="99">
        <f t="shared" si="0"/>
        <v>17</v>
      </c>
      <c r="B18" s="5" t="s">
        <v>59</v>
      </c>
      <c r="C18" s="12">
        <v>103.70023333333333</v>
      </c>
      <c r="D18" s="12">
        <v>1.2610166666666667</v>
      </c>
      <c r="E18" s="135" t="s">
        <v>980</v>
      </c>
      <c r="F18" s="157">
        <v>-1</v>
      </c>
    </row>
    <row r="19" spans="1:6" x14ac:dyDescent="0.25">
      <c r="A19" s="99">
        <f t="shared" si="0"/>
        <v>18</v>
      </c>
      <c r="B19" s="5" t="s">
        <v>60</v>
      </c>
      <c r="C19" s="101">
        <v>103.684</v>
      </c>
      <c r="D19" s="101">
        <v>1.2715000000000001</v>
      </c>
      <c r="E19" s="135" t="s">
        <v>980</v>
      </c>
      <c r="F19" s="157">
        <v>-1</v>
      </c>
    </row>
    <row r="20" spans="1:6" x14ac:dyDescent="0.25">
      <c r="A20" s="99">
        <f t="shared" si="0"/>
        <v>19</v>
      </c>
      <c r="B20" s="5" t="s">
        <v>62</v>
      </c>
      <c r="C20" s="12">
        <v>103.68238333333333</v>
      </c>
      <c r="D20" s="12">
        <v>1.2506166666666667</v>
      </c>
      <c r="E20" s="135" t="s">
        <v>980</v>
      </c>
      <c r="F20" s="157">
        <v>-1</v>
      </c>
    </row>
    <row r="21" spans="1:6" x14ac:dyDescent="0.25">
      <c r="A21" s="99">
        <f t="shared" si="0"/>
        <v>20</v>
      </c>
      <c r="B21" s="5" t="s">
        <v>61</v>
      </c>
      <c r="C21" s="12">
        <v>103.66601666666666</v>
      </c>
      <c r="D21" s="12">
        <v>1.2667666666666666</v>
      </c>
      <c r="E21" s="135" t="s">
        <v>980</v>
      </c>
      <c r="F21" s="157">
        <v>-1</v>
      </c>
    </row>
    <row r="22" spans="1:6" x14ac:dyDescent="0.25">
      <c r="A22" s="99">
        <f t="shared" si="0"/>
        <v>21</v>
      </c>
      <c r="B22" s="5" t="s">
        <v>99</v>
      </c>
      <c r="C22" s="12">
        <v>103.72075</v>
      </c>
      <c r="D22" s="12">
        <v>1.2856166666666666</v>
      </c>
      <c r="E22" s="135" t="s">
        <v>980</v>
      </c>
      <c r="F22" s="157">
        <v>-1</v>
      </c>
    </row>
    <row r="23" spans="1:6" x14ac:dyDescent="0.25">
      <c r="A23" s="99">
        <f t="shared" si="0"/>
        <v>22</v>
      </c>
      <c r="B23" s="5" t="s">
        <v>83</v>
      </c>
      <c r="C23" s="12">
        <v>103.72351666666667</v>
      </c>
      <c r="D23" s="12">
        <v>1.2746333333333333</v>
      </c>
      <c r="E23" s="135" t="s">
        <v>980</v>
      </c>
      <c r="F23" s="157">
        <v>-1</v>
      </c>
    </row>
    <row r="24" spans="1:6" x14ac:dyDescent="0.25">
      <c r="A24" s="99">
        <f t="shared" si="0"/>
        <v>23</v>
      </c>
      <c r="B24" s="5" t="s">
        <v>63</v>
      </c>
      <c r="C24" s="12">
        <v>103.71325</v>
      </c>
      <c r="D24" s="12">
        <v>1.2770833333333333</v>
      </c>
      <c r="E24" s="135" t="s">
        <v>980</v>
      </c>
      <c r="F24" s="157">
        <v>-1</v>
      </c>
    </row>
    <row r="25" spans="1:6" x14ac:dyDescent="0.25">
      <c r="A25" s="99">
        <f t="shared" si="0"/>
        <v>24</v>
      </c>
      <c r="B25" s="5" t="s">
        <v>80</v>
      </c>
      <c r="C25" s="12">
        <v>103.71693333333333</v>
      </c>
      <c r="D25" s="12">
        <v>1.2707666666666666</v>
      </c>
      <c r="E25" s="135" t="s">
        <v>980</v>
      </c>
      <c r="F25" s="157">
        <v>-1</v>
      </c>
    </row>
    <row r="26" spans="1:6" x14ac:dyDescent="0.25">
      <c r="A26" s="99">
        <f t="shared" si="0"/>
        <v>25</v>
      </c>
      <c r="B26" s="5" t="s">
        <v>122</v>
      </c>
      <c r="C26" s="12">
        <v>103.70356666666666</v>
      </c>
      <c r="D26" s="12">
        <v>1.26755</v>
      </c>
      <c r="E26" s="135" t="s">
        <v>980</v>
      </c>
      <c r="F26" s="157">
        <v>-1</v>
      </c>
    </row>
    <row r="27" spans="1:6" x14ac:dyDescent="0.25">
      <c r="A27" s="99">
        <f t="shared" si="0"/>
        <v>26</v>
      </c>
      <c r="B27" s="5" t="s">
        <v>93</v>
      </c>
      <c r="C27" s="12">
        <v>103.70023333333333</v>
      </c>
      <c r="D27" s="12">
        <v>1.2610166666666667</v>
      </c>
      <c r="E27" s="135" t="s">
        <v>980</v>
      </c>
      <c r="F27" s="157">
        <v>-1</v>
      </c>
    </row>
    <row r="28" spans="1:6" x14ac:dyDescent="0.25">
      <c r="A28" s="99">
        <f t="shared" si="0"/>
        <v>27</v>
      </c>
      <c r="B28" s="5" t="s">
        <v>115</v>
      </c>
      <c r="C28" s="101">
        <v>103.684</v>
      </c>
      <c r="D28" s="101">
        <v>1.2715000000000001</v>
      </c>
      <c r="E28" s="135" t="s">
        <v>980</v>
      </c>
      <c r="F28" s="157">
        <v>-1</v>
      </c>
    </row>
    <row r="29" spans="1:6" x14ac:dyDescent="0.25">
      <c r="A29" s="99">
        <f t="shared" si="0"/>
        <v>28</v>
      </c>
      <c r="B29" s="5" t="s">
        <v>191</v>
      </c>
      <c r="C29" s="12">
        <v>103.68238333333333</v>
      </c>
      <c r="D29" s="12">
        <v>1.2506166666666667</v>
      </c>
      <c r="E29" s="135" t="s">
        <v>980</v>
      </c>
      <c r="F29" s="157">
        <v>-1</v>
      </c>
    </row>
    <row r="30" spans="1:6" x14ac:dyDescent="0.25">
      <c r="A30" s="99">
        <f t="shared" si="0"/>
        <v>29</v>
      </c>
      <c r="B30" s="5" t="s">
        <v>166</v>
      </c>
      <c r="C30" s="12">
        <v>103.66601666666666</v>
      </c>
      <c r="D30" s="12">
        <v>1.2667666666666666</v>
      </c>
      <c r="E30" s="135" t="s">
        <v>980</v>
      </c>
      <c r="F30" s="157">
        <v>-1</v>
      </c>
    </row>
    <row r="31" spans="1:6" x14ac:dyDescent="0.25">
      <c r="A31" s="99">
        <f t="shared" si="0"/>
        <v>30</v>
      </c>
      <c r="B31" s="5" t="s">
        <v>107</v>
      </c>
      <c r="C31" s="12">
        <v>103.72006666666667</v>
      </c>
      <c r="D31" s="12">
        <v>1.2851166666666667</v>
      </c>
      <c r="E31" s="136" t="s">
        <v>927</v>
      </c>
      <c r="F31" s="158">
        <v>1</v>
      </c>
    </row>
    <row r="32" spans="1:6" x14ac:dyDescent="0.25">
      <c r="A32" s="99">
        <f t="shared" si="0"/>
        <v>31</v>
      </c>
      <c r="B32" s="5" t="s">
        <v>127</v>
      </c>
      <c r="C32" s="12">
        <v>103.72031666666666</v>
      </c>
      <c r="D32" s="12">
        <v>1.2831833333333333</v>
      </c>
      <c r="E32" s="134" t="s">
        <v>928</v>
      </c>
      <c r="F32" s="159">
        <v>2</v>
      </c>
    </row>
    <row r="33" spans="1:6" x14ac:dyDescent="0.25">
      <c r="A33" s="99">
        <f t="shared" si="0"/>
        <v>32</v>
      </c>
      <c r="B33" s="5" t="s">
        <v>126</v>
      </c>
      <c r="C33" s="12">
        <v>103.7195</v>
      </c>
      <c r="D33" s="12">
        <v>1.2827999999999999</v>
      </c>
      <c r="E33" s="139"/>
      <c r="F33" s="160">
        <v>0</v>
      </c>
    </row>
    <row r="34" spans="1:6" x14ac:dyDescent="0.25">
      <c r="A34" s="99">
        <f t="shared" si="0"/>
        <v>33</v>
      </c>
      <c r="B34" s="5" t="s">
        <v>101</v>
      </c>
      <c r="C34" s="12">
        <v>103.72146666666667</v>
      </c>
      <c r="D34" s="12">
        <v>1.2857000000000001</v>
      </c>
      <c r="E34" s="136" t="s">
        <v>930</v>
      </c>
      <c r="F34" s="158">
        <v>1</v>
      </c>
    </row>
    <row r="35" spans="1:6" x14ac:dyDescent="0.25">
      <c r="A35" s="99">
        <f t="shared" si="0"/>
        <v>34</v>
      </c>
      <c r="B35" s="5" t="s">
        <v>102</v>
      </c>
      <c r="C35" s="12">
        <v>103.72343333333333</v>
      </c>
      <c r="D35" s="12">
        <v>1.2862333333333333</v>
      </c>
      <c r="E35" s="136" t="s">
        <v>931</v>
      </c>
      <c r="F35" s="158">
        <v>1</v>
      </c>
    </row>
    <row r="36" spans="1:6" x14ac:dyDescent="0.25">
      <c r="A36" s="99">
        <f t="shared" si="0"/>
        <v>35</v>
      </c>
      <c r="B36" s="5" t="s">
        <v>145</v>
      </c>
      <c r="C36" s="12">
        <v>103.72054166666666</v>
      </c>
      <c r="D36" s="12">
        <v>1.2862083333333332</v>
      </c>
      <c r="E36" s="137" t="s">
        <v>929</v>
      </c>
      <c r="F36" s="161">
        <v>3</v>
      </c>
    </row>
    <row r="37" spans="1:6" x14ac:dyDescent="0.25">
      <c r="A37" s="99">
        <f t="shared" si="0"/>
        <v>36</v>
      </c>
      <c r="B37" s="5" t="s">
        <v>150</v>
      </c>
      <c r="C37" s="12">
        <v>103.72033333333333</v>
      </c>
      <c r="D37" s="12">
        <v>1.2867999999999999</v>
      </c>
      <c r="E37" s="139"/>
      <c r="F37" s="160">
        <v>0</v>
      </c>
    </row>
    <row r="38" spans="1:6" x14ac:dyDescent="0.25">
      <c r="A38" s="99">
        <f t="shared" si="0"/>
        <v>37</v>
      </c>
      <c r="B38" s="5" t="s">
        <v>164</v>
      </c>
      <c r="C38" s="12">
        <v>103.71978333333334</v>
      </c>
      <c r="D38" s="12">
        <v>1.2895666666666665</v>
      </c>
      <c r="E38" s="133" t="s">
        <v>935</v>
      </c>
      <c r="F38" s="162">
        <v>4</v>
      </c>
    </row>
    <row r="39" spans="1:6" x14ac:dyDescent="0.25">
      <c r="A39" s="99">
        <f t="shared" si="0"/>
        <v>38</v>
      </c>
      <c r="B39" s="5" t="s">
        <v>168</v>
      </c>
      <c r="C39" s="12">
        <v>103.72051666666667</v>
      </c>
      <c r="D39" s="12">
        <v>1.2885833333333334</v>
      </c>
      <c r="E39" s="133" t="s">
        <v>935</v>
      </c>
      <c r="F39" s="162">
        <v>4</v>
      </c>
    </row>
    <row r="40" spans="1:6" x14ac:dyDescent="0.25">
      <c r="A40" s="99">
        <f t="shared" si="0"/>
        <v>39</v>
      </c>
      <c r="B40" s="5" t="s">
        <v>169</v>
      </c>
      <c r="C40" s="12">
        <v>103.72088333333333</v>
      </c>
      <c r="D40" s="12">
        <v>1.2877333333333334</v>
      </c>
      <c r="E40" s="133" t="s">
        <v>935</v>
      </c>
      <c r="F40" s="162">
        <v>4</v>
      </c>
    </row>
    <row r="41" spans="1:6" x14ac:dyDescent="0.25">
      <c r="A41" s="99">
        <f t="shared" si="0"/>
        <v>40</v>
      </c>
      <c r="B41" s="5" t="s">
        <v>182</v>
      </c>
      <c r="C41" s="12">
        <v>103.72088333333333</v>
      </c>
      <c r="D41" s="12">
        <v>1.2866</v>
      </c>
      <c r="E41" s="133" t="s">
        <v>935</v>
      </c>
      <c r="F41" s="162">
        <v>4</v>
      </c>
    </row>
    <row r="42" spans="1:6" x14ac:dyDescent="0.25">
      <c r="A42" s="99">
        <f t="shared" si="0"/>
        <v>41</v>
      </c>
      <c r="B42" s="5" t="s">
        <v>194</v>
      </c>
      <c r="C42" s="12">
        <v>103.71865</v>
      </c>
      <c r="D42" s="12">
        <v>1.2902499999999999</v>
      </c>
      <c r="E42" s="149" t="s">
        <v>978</v>
      </c>
      <c r="F42" s="163">
        <v>1</v>
      </c>
    </row>
    <row r="43" spans="1:6" x14ac:dyDescent="0.25">
      <c r="A43" s="99">
        <f t="shared" si="0"/>
        <v>42</v>
      </c>
      <c r="B43" s="5" t="s">
        <v>195</v>
      </c>
      <c r="C43" s="12">
        <v>103.7176</v>
      </c>
      <c r="D43" s="12">
        <v>1.2897666666666667</v>
      </c>
      <c r="E43" s="139"/>
      <c r="F43" s="160">
        <v>0</v>
      </c>
    </row>
    <row r="44" spans="1:6" x14ac:dyDescent="0.25">
      <c r="A44" s="99">
        <f t="shared" si="0"/>
        <v>43</v>
      </c>
      <c r="B44" s="5" t="s">
        <v>219</v>
      </c>
      <c r="C44" s="12">
        <v>103.7135</v>
      </c>
      <c r="D44" s="12">
        <v>1.2907166666666667</v>
      </c>
      <c r="E44" s="149" t="s">
        <v>978</v>
      </c>
      <c r="F44" s="163">
        <v>1</v>
      </c>
    </row>
    <row r="45" spans="1:6" x14ac:dyDescent="0.25">
      <c r="A45" s="99">
        <f t="shared" si="0"/>
        <v>44</v>
      </c>
      <c r="B45" s="5" t="s">
        <v>235</v>
      </c>
      <c r="C45" s="12">
        <v>103.70954999999999</v>
      </c>
      <c r="D45" s="12">
        <v>1.2911666666666666</v>
      </c>
      <c r="E45" s="137" t="s">
        <v>932</v>
      </c>
      <c r="F45" s="161">
        <v>3</v>
      </c>
    </row>
    <row r="46" spans="1:6" x14ac:dyDescent="0.25">
      <c r="A46" s="99">
        <f t="shared" si="0"/>
        <v>45</v>
      </c>
      <c r="B46" s="5" t="s">
        <v>240</v>
      </c>
      <c r="C46" s="12">
        <v>103.7111</v>
      </c>
      <c r="D46" s="12">
        <v>1.2901333333333334</v>
      </c>
      <c r="E46" s="137" t="s">
        <v>932</v>
      </c>
      <c r="F46" s="161">
        <v>3</v>
      </c>
    </row>
    <row r="47" spans="1:6" x14ac:dyDescent="0.25">
      <c r="A47" s="99">
        <f t="shared" si="0"/>
        <v>46</v>
      </c>
      <c r="B47" s="5" t="s">
        <v>84</v>
      </c>
      <c r="C47" s="12">
        <v>103.72301666666667</v>
      </c>
      <c r="D47" s="12">
        <v>1.2751000000000001</v>
      </c>
      <c r="E47" s="136" t="s">
        <v>933</v>
      </c>
      <c r="F47" s="158">
        <v>1</v>
      </c>
    </row>
    <row r="48" spans="1:6" x14ac:dyDescent="0.25">
      <c r="A48" s="99">
        <f t="shared" si="0"/>
        <v>47</v>
      </c>
      <c r="B48" s="5" t="s">
        <v>85</v>
      </c>
      <c r="C48" s="12">
        <v>103.72225</v>
      </c>
      <c r="D48" s="12">
        <v>1.2759333333333334</v>
      </c>
      <c r="E48" s="139"/>
      <c r="F48" s="160">
        <v>0</v>
      </c>
    </row>
    <row r="49" spans="1:6" x14ac:dyDescent="0.25">
      <c r="A49" s="99">
        <f t="shared" si="0"/>
        <v>48</v>
      </c>
      <c r="B49" s="5" t="s">
        <v>86</v>
      </c>
      <c r="C49" s="12">
        <v>103.72183333333334</v>
      </c>
      <c r="D49" s="12">
        <v>1.2763833333333334</v>
      </c>
      <c r="E49" s="136" t="s">
        <v>934</v>
      </c>
      <c r="F49" s="158">
        <v>1</v>
      </c>
    </row>
    <row r="50" spans="1:6" x14ac:dyDescent="0.25">
      <c r="A50" s="99">
        <f t="shared" si="0"/>
        <v>49</v>
      </c>
      <c r="B50" s="5" t="s">
        <v>87</v>
      </c>
      <c r="C50" s="12">
        <v>103.721</v>
      </c>
      <c r="D50" s="12">
        <v>1.27715</v>
      </c>
      <c r="E50" s="139"/>
      <c r="F50" s="160">
        <v>0</v>
      </c>
    </row>
    <row r="51" spans="1:6" x14ac:dyDescent="0.25">
      <c r="A51" s="99">
        <f t="shared" si="0"/>
        <v>50</v>
      </c>
      <c r="B51" s="5" t="s">
        <v>88</v>
      </c>
      <c r="C51" s="12">
        <v>103.71891666666667</v>
      </c>
      <c r="D51" s="12">
        <v>1.2792666666666666</v>
      </c>
      <c r="E51" s="139"/>
      <c r="F51" s="160">
        <v>0</v>
      </c>
    </row>
    <row r="52" spans="1:6" x14ac:dyDescent="0.25">
      <c r="A52" s="99">
        <f t="shared" si="0"/>
        <v>51</v>
      </c>
      <c r="B52" s="5" t="s">
        <v>89</v>
      </c>
      <c r="C52" s="12">
        <v>103.71925</v>
      </c>
      <c r="D52" s="12">
        <v>1.2796833333333333</v>
      </c>
      <c r="E52" s="133" t="s">
        <v>935</v>
      </c>
      <c r="F52" s="162">
        <v>4</v>
      </c>
    </row>
    <row r="53" spans="1:6" x14ac:dyDescent="0.25">
      <c r="A53" s="99">
        <f t="shared" si="0"/>
        <v>52</v>
      </c>
      <c r="B53" s="5" t="s">
        <v>94</v>
      </c>
      <c r="C53" s="12">
        <v>103.72199999999999</v>
      </c>
      <c r="D53" s="12">
        <v>1.2732333333333332</v>
      </c>
      <c r="E53" s="136" t="s">
        <v>936</v>
      </c>
      <c r="F53" s="158">
        <v>1</v>
      </c>
    </row>
    <row r="54" spans="1:6" x14ac:dyDescent="0.25">
      <c r="A54" s="99">
        <f t="shared" si="0"/>
        <v>53</v>
      </c>
      <c r="B54" s="5" t="s">
        <v>95</v>
      </c>
      <c r="C54" s="12">
        <v>103.72135</v>
      </c>
      <c r="D54" s="12">
        <v>1.2725500000000001</v>
      </c>
      <c r="E54" s="136" t="s">
        <v>936</v>
      </c>
      <c r="F54" s="158">
        <v>1</v>
      </c>
    </row>
    <row r="55" spans="1:6" x14ac:dyDescent="0.25">
      <c r="A55" s="99">
        <f t="shared" si="0"/>
        <v>54</v>
      </c>
      <c r="B55" s="5" t="s">
        <v>96</v>
      </c>
      <c r="C55" s="12">
        <v>103.72085</v>
      </c>
      <c r="D55" s="12">
        <v>1.2719833333333332</v>
      </c>
      <c r="E55" s="139"/>
      <c r="F55" s="160">
        <v>0</v>
      </c>
    </row>
    <row r="56" spans="1:6" x14ac:dyDescent="0.25">
      <c r="A56" s="99">
        <f t="shared" si="0"/>
        <v>55</v>
      </c>
      <c r="B56" s="5" t="s">
        <v>97</v>
      </c>
      <c r="C56" s="12">
        <v>103.72001666666667</v>
      </c>
      <c r="D56" s="12">
        <v>1.2710999999999999</v>
      </c>
      <c r="E56" s="139"/>
      <c r="F56" s="160">
        <v>0</v>
      </c>
    </row>
    <row r="57" spans="1:6" x14ac:dyDescent="0.25">
      <c r="A57" s="99">
        <f t="shared" si="0"/>
        <v>56</v>
      </c>
      <c r="B57" s="5" t="s">
        <v>98</v>
      </c>
      <c r="C57" s="12">
        <v>103.72043333333333</v>
      </c>
      <c r="D57" s="12">
        <v>1.2706500000000001</v>
      </c>
      <c r="E57" s="136" t="s">
        <v>937</v>
      </c>
      <c r="F57" s="158">
        <v>1</v>
      </c>
    </row>
    <row r="58" spans="1:6" x14ac:dyDescent="0.25">
      <c r="A58" s="99">
        <f t="shared" si="0"/>
        <v>57</v>
      </c>
      <c r="B58" s="5" t="s">
        <v>104</v>
      </c>
      <c r="C58" s="12">
        <v>103.72361666666667</v>
      </c>
      <c r="D58" s="12">
        <v>1.2705833333333334</v>
      </c>
      <c r="E58" s="139"/>
      <c r="F58" s="160">
        <v>0</v>
      </c>
    </row>
    <row r="59" spans="1:6" x14ac:dyDescent="0.25">
      <c r="A59" s="99">
        <f t="shared" si="0"/>
        <v>58</v>
      </c>
      <c r="B59" s="5" t="s">
        <v>81</v>
      </c>
      <c r="C59" s="12">
        <v>103.724</v>
      </c>
      <c r="D59" s="12">
        <v>1.2741833333333332</v>
      </c>
      <c r="E59" s="136" t="s">
        <v>936</v>
      </c>
      <c r="F59" s="158">
        <v>1</v>
      </c>
    </row>
    <row r="60" spans="1:6" x14ac:dyDescent="0.25">
      <c r="A60" s="99">
        <f t="shared" si="0"/>
        <v>59</v>
      </c>
      <c r="B60" s="5" t="s">
        <v>914</v>
      </c>
      <c r="C60" s="12">
        <v>103.73005000000001</v>
      </c>
      <c r="D60" s="12">
        <v>1.2764666666666666</v>
      </c>
      <c r="E60" s="136" t="s">
        <v>938</v>
      </c>
      <c r="F60" s="158">
        <v>1</v>
      </c>
    </row>
    <row r="61" spans="1:6" x14ac:dyDescent="0.25">
      <c r="A61" s="99">
        <f t="shared" si="0"/>
        <v>60</v>
      </c>
      <c r="B61" s="5" t="s">
        <v>915</v>
      </c>
      <c r="C61" s="12">
        <v>103.73005000000001</v>
      </c>
      <c r="D61" s="12">
        <v>1.2764666666666666</v>
      </c>
      <c r="E61" s="139" t="s">
        <v>980</v>
      </c>
      <c r="F61" s="160">
        <v>0</v>
      </c>
    </row>
    <row r="62" spans="1:6" x14ac:dyDescent="0.25">
      <c r="A62" s="99">
        <f t="shared" si="0"/>
        <v>61</v>
      </c>
      <c r="B62" s="5" t="s">
        <v>212</v>
      </c>
      <c r="C62" s="12">
        <v>103.73471666666667</v>
      </c>
      <c r="D62" s="12">
        <v>1.2723333333333333</v>
      </c>
      <c r="E62" s="139"/>
      <c r="F62" s="160">
        <v>0</v>
      </c>
    </row>
    <row r="63" spans="1:6" x14ac:dyDescent="0.25">
      <c r="A63" s="99">
        <f t="shared" si="0"/>
        <v>62</v>
      </c>
      <c r="B63" s="5" t="s">
        <v>970</v>
      </c>
      <c r="C63" s="12">
        <v>103.73171666666667</v>
      </c>
      <c r="D63" s="12">
        <v>1.2785166666666665</v>
      </c>
      <c r="E63" s="133" t="s">
        <v>935</v>
      </c>
      <c r="F63" s="162">
        <v>4</v>
      </c>
    </row>
    <row r="64" spans="1:6" x14ac:dyDescent="0.25">
      <c r="A64" s="99">
        <f t="shared" si="0"/>
        <v>63</v>
      </c>
      <c r="B64" s="5" t="s">
        <v>225</v>
      </c>
      <c r="C64" s="12">
        <f>C61+(C62-C61)/3</f>
        <v>103.73160555555556</v>
      </c>
      <c r="D64" s="12">
        <f>D61+(D62-D61)/3</f>
        <v>1.2750888888888889</v>
      </c>
      <c r="E64" s="133" t="s">
        <v>935</v>
      </c>
      <c r="F64" s="162">
        <v>4</v>
      </c>
    </row>
    <row r="65" spans="1:6" x14ac:dyDescent="0.25">
      <c r="A65" s="99">
        <f t="shared" si="0"/>
        <v>64</v>
      </c>
      <c r="B65" s="5" t="s">
        <v>231</v>
      </c>
      <c r="C65" s="12">
        <f>C61+(C62-C61)*2/3</f>
        <v>103.73316111111112</v>
      </c>
      <c r="D65" s="12">
        <f>D61+(D62-D61)*2/3</f>
        <v>1.273711111111111</v>
      </c>
      <c r="E65" s="133" t="s">
        <v>935</v>
      </c>
      <c r="F65" s="162">
        <v>4</v>
      </c>
    </row>
    <row r="66" spans="1:6" x14ac:dyDescent="0.25">
      <c r="A66" s="99">
        <f t="shared" si="0"/>
        <v>65</v>
      </c>
      <c r="B66" s="5" t="s">
        <v>234</v>
      </c>
      <c r="C66" s="12">
        <v>103.72685</v>
      </c>
      <c r="D66" s="12">
        <v>1.2814666666666668</v>
      </c>
      <c r="E66" s="134" t="s">
        <v>928</v>
      </c>
      <c r="F66" s="159">
        <v>2</v>
      </c>
    </row>
    <row r="67" spans="1:6" x14ac:dyDescent="0.25">
      <c r="A67" s="99">
        <f t="shared" si="0"/>
        <v>66</v>
      </c>
      <c r="B67" s="5" t="s">
        <v>64</v>
      </c>
      <c r="C67" s="12">
        <v>103.71285</v>
      </c>
      <c r="D67" s="12">
        <v>1.27745</v>
      </c>
      <c r="E67" s="136" t="s">
        <v>936</v>
      </c>
      <c r="F67" s="158">
        <v>1</v>
      </c>
    </row>
    <row r="68" spans="1:6" x14ac:dyDescent="0.25">
      <c r="A68" s="99">
        <f t="shared" ref="A68:A131" si="1">A67+1</f>
        <v>67</v>
      </c>
      <c r="B68" s="5" t="s">
        <v>69</v>
      </c>
      <c r="C68" s="12">
        <v>103.71181666666666</v>
      </c>
      <c r="D68" s="12">
        <v>1.2789000000000001</v>
      </c>
      <c r="E68" s="136" t="s">
        <v>936</v>
      </c>
      <c r="F68" s="158">
        <v>1</v>
      </c>
    </row>
    <row r="69" spans="1:6" x14ac:dyDescent="0.25">
      <c r="A69" s="99">
        <f t="shared" si="1"/>
        <v>68</v>
      </c>
      <c r="B69" s="5" t="s">
        <v>73</v>
      </c>
      <c r="C69" s="12">
        <v>103.71455</v>
      </c>
      <c r="D69" s="12">
        <v>1.2781666666666667</v>
      </c>
      <c r="E69" s="139"/>
      <c r="F69" s="160">
        <v>0</v>
      </c>
    </row>
    <row r="70" spans="1:6" x14ac:dyDescent="0.25">
      <c r="A70" s="99">
        <f t="shared" si="1"/>
        <v>69</v>
      </c>
      <c r="B70" s="5" t="s">
        <v>77</v>
      </c>
      <c r="C70" s="12">
        <v>103.71603333333333</v>
      </c>
      <c r="D70" s="12">
        <v>1.2778</v>
      </c>
      <c r="E70" s="139"/>
      <c r="F70" s="160">
        <v>0</v>
      </c>
    </row>
    <row r="71" spans="1:6" x14ac:dyDescent="0.25">
      <c r="A71" s="99">
        <f t="shared" si="1"/>
        <v>70</v>
      </c>
      <c r="B71" s="5" t="s">
        <v>78</v>
      </c>
      <c r="C71" s="12">
        <v>103.71725000000001</v>
      </c>
      <c r="D71" s="12">
        <v>1.2784666666666666</v>
      </c>
      <c r="E71" s="134" t="s">
        <v>928</v>
      </c>
      <c r="F71" s="159">
        <v>2</v>
      </c>
    </row>
    <row r="72" spans="1:6" x14ac:dyDescent="0.25">
      <c r="A72" s="99">
        <f t="shared" si="1"/>
        <v>71</v>
      </c>
      <c r="B72" s="5" t="s">
        <v>79</v>
      </c>
      <c r="C72" s="12">
        <v>103.71668333333334</v>
      </c>
      <c r="D72" s="12">
        <v>1.27925</v>
      </c>
      <c r="E72" s="136" t="s">
        <v>944</v>
      </c>
      <c r="F72" s="158">
        <v>1</v>
      </c>
    </row>
    <row r="73" spans="1:6" x14ac:dyDescent="0.25">
      <c r="A73" s="99">
        <f t="shared" si="1"/>
        <v>72</v>
      </c>
      <c r="B73" s="5" t="s">
        <v>70</v>
      </c>
      <c r="C73" s="12">
        <v>103.71386666666666</v>
      </c>
      <c r="D73" s="12">
        <v>1.2763833333333334</v>
      </c>
      <c r="E73" s="139"/>
      <c r="F73" s="160">
        <v>0</v>
      </c>
    </row>
    <row r="74" spans="1:6" x14ac:dyDescent="0.25">
      <c r="A74" s="99">
        <f t="shared" si="1"/>
        <v>73</v>
      </c>
      <c r="B74" s="5" t="s">
        <v>71</v>
      </c>
      <c r="C74" s="12">
        <v>103.71346666666666</v>
      </c>
      <c r="D74" s="12">
        <v>1.2761666666666667</v>
      </c>
      <c r="E74" s="136" t="s">
        <v>936</v>
      </c>
      <c r="F74" s="158">
        <v>1</v>
      </c>
    </row>
    <row r="75" spans="1:6" x14ac:dyDescent="0.25">
      <c r="A75" s="99">
        <f t="shared" si="1"/>
        <v>74</v>
      </c>
      <c r="B75" s="5" t="s">
        <v>72</v>
      </c>
      <c r="C75" s="12">
        <v>103.71421666666667</v>
      </c>
      <c r="D75" s="12">
        <v>1.2752166666666667</v>
      </c>
      <c r="E75" s="139"/>
      <c r="F75" s="160">
        <v>0</v>
      </c>
    </row>
    <row r="76" spans="1:6" x14ac:dyDescent="0.25">
      <c r="A76" s="99">
        <f t="shared" si="1"/>
        <v>75</v>
      </c>
      <c r="B76" s="5" t="s">
        <v>74</v>
      </c>
      <c r="C76" s="12">
        <v>103.71501666666667</v>
      </c>
      <c r="D76" s="12">
        <v>1.2739500000000001</v>
      </c>
      <c r="E76" s="136" t="s">
        <v>936</v>
      </c>
      <c r="F76" s="158">
        <v>1</v>
      </c>
    </row>
    <row r="77" spans="1:6" x14ac:dyDescent="0.25">
      <c r="A77" s="99">
        <f t="shared" si="1"/>
        <v>76</v>
      </c>
      <c r="B77" s="5" t="s">
        <v>75</v>
      </c>
      <c r="C77" s="12">
        <v>103.7157</v>
      </c>
      <c r="D77" s="12">
        <v>1.2732833333333333</v>
      </c>
      <c r="E77" s="136" t="s">
        <v>936</v>
      </c>
      <c r="F77" s="158">
        <v>1</v>
      </c>
    </row>
    <row r="78" spans="1:6" x14ac:dyDescent="0.25">
      <c r="A78" s="99">
        <f t="shared" si="1"/>
        <v>77</v>
      </c>
      <c r="B78" s="5" t="s">
        <v>76</v>
      </c>
      <c r="C78" s="12">
        <v>103.71644999999999</v>
      </c>
      <c r="D78" s="12">
        <v>1.2729666666666666</v>
      </c>
      <c r="E78" s="136" t="s">
        <v>936</v>
      </c>
      <c r="F78" s="158">
        <v>1</v>
      </c>
    </row>
    <row r="79" spans="1:6" x14ac:dyDescent="0.25">
      <c r="A79" s="99">
        <f t="shared" si="1"/>
        <v>78</v>
      </c>
      <c r="B79" s="5" t="s">
        <v>65</v>
      </c>
      <c r="C79" s="12">
        <v>103.71208333333334</v>
      </c>
      <c r="D79" s="12">
        <v>1.2762833333333334</v>
      </c>
      <c r="E79" s="139"/>
      <c r="F79" s="160">
        <v>0</v>
      </c>
    </row>
    <row r="80" spans="1:6" x14ac:dyDescent="0.25">
      <c r="A80" s="99">
        <f t="shared" si="1"/>
        <v>79</v>
      </c>
      <c r="B80" s="5" t="s">
        <v>66</v>
      </c>
      <c r="C80" s="12">
        <v>103.71133333333333</v>
      </c>
      <c r="D80" s="12">
        <v>1.2769166666666667</v>
      </c>
      <c r="E80" s="139"/>
      <c r="F80" s="160">
        <v>0</v>
      </c>
    </row>
    <row r="81" spans="1:6" x14ac:dyDescent="0.25">
      <c r="A81" s="99">
        <f t="shared" si="1"/>
        <v>80</v>
      </c>
      <c r="B81" s="5" t="s">
        <v>68</v>
      </c>
      <c r="C81" s="12">
        <v>103.71098333333333</v>
      </c>
      <c r="D81" s="12">
        <v>1.2757499999999999</v>
      </c>
      <c r="E81" s="136" t="s">
        <v>946</v>
      </c>
      <c r="F81" s="158">
        <v>1</v>
      </c>
    </row>
    <row r="82" spans="1:6" x14ac:dyDescent="0.25">
      <c r="A82" s="99">
        <f t="shared" si="1"/>
        <v>81</v>
      </c>
      <c r="B82" s="5" t="s">
        <v>67</v>
      </c>
      <c r="C82" s="12">
        <v>103.70981666666667</v>
      </c>
      <c r="D82" s="12">
        <v>1.2747666666666666</v>
      </c>
      <c r="E82" s="139"/>
      <c r="F82" s="160">
        <v>0</v>
      </c>
    </row>
    <row r="83" spans="1:6" x14ac:dyDescent="0.25">
      <c r="A83" s="99">
        <f t="shared" si="1"/>
        <v>82</v>
      </c>
      <c r="B83" s="5" t="s">
        <v>81</v>
      </c>
      <c r="C83" s="12">
        <v>103.71513333333333</v>
      </c>
      <c r="D83" s="12">
        <v>1.2712666666666665</v>
      </c>
      <c r="E83" s="136" t="s">
        <v>936</v>
      </c>
      <c r="F83" s="158">
        <v>1</v>
      </c>
    </row>
    <row r="84" spans="1:6" x14ac:dyDescent="0.25">
      <c r="A84" s="99">
        <f t="shared" si="1"/>
        <v>83</v>
      </c>
      <c r="B84" s="5" t="s">
        <v>82</v>
      </c>
      <c r="C84" s="12">
        <v>103.71015</v>
      </c>
      <c r="D84" s="12">
        <v>1.2730166666666667</v>
      </c>
      <c r="E84" s="134" t="s">
        <v>928</v>
      </c>
      <c r="F84" s="159">
        <v>2</v>
      </c>
    </row>
    <row r="85" spans="1:6" x14ac:dyDescent="0.25">
      <c r="A85" s="99">
        <f t="shared" si="1"/>
        <v>84</v>
      </c>
      <c r="B85" s="5" t="s">
        <v>155</v>
      </c>
      <c r="C85" s="12">
        <v>103.7174</v>
      </c>
      <c r="D85" s="12">
        <v>1.2706166666666667</v>
      </c>
      <c r="E85" s="137" t="s">
        <v>940</v>
      </c>
      <c r="F85" s="161">
        <v>3</v>
      </c>
    </row>
    <row r="86" spans="1:6" x14ac:dyDescent="0.25">
      <c r="A86" s="99">
        <f t="shared" si="1"/>
        <v>85</v>
      </c>
      <c r="B86" s="5" t="s">
        <v>137</v>
      </c>
      <c r="C86" s="12">
        <v>103.709</v>
      </c>
      <c r="D86" s="12">
        <v>1.26285</v>
      </c>
      <c r="E86" s="136" t="s">
        <v>941</v>
      </c>
      <c r="F86" s="158">
        <v>1</v>
      </c>
    </row>
    <row r="87" spans="1:6" x14ac:dyDescent="0.25">
      <c r="A87" s="99">
        <f t="shared" si="1"/>
        <v>86</v>
      </c>
      <c r="B87" s="5" t="s">
        <v>157</v>
      </c>
      <c r="C87" s="12">
        <v>103.72735</v>
      </c>
      <c r="D87" s="12">
        <v>1.2660166666666668</v>
      </c>
      <c r="E87" s="136" t="s">
        <v>936</v>
      </c>
      <c r="F87" s="158">
        <v>1</v>
      </c>
    </row>
    <row r="88" spans="1:6" x14ac:dyDescent="0.25">
      <c r="A88" s="99">
        <f t="shared" si="1"/>
        <v>87</v>
      </c>
      <c r="B88" s="5" t="s">
        <v>156</v>
      </c>
      <c r="C88" s="12">
        <v>103.72750000000001</v>
      </c>
      <c r="D88" s="12">
        <v>1.2658666666666667</v>
      </c>
      <c r="E88" s="139"/>
      <c r="F88" s="160">
        <v>0</v>
      </c>
    </row>
    <row r="89" spans="1:6" x14ac:dyDescent="0.25">
      <c r="A89" s="99">
        <f t="shared" si="1"/>
        <v>88</v>
      </c>
      <c r="B89" s="5" t="s">
        <v>92</v>
      </c>
      <c r="C89" s="12">
        <v>103.72503333333333</v>
      </c>
      <c r="D89" s="12">
        <v>1.2668999999999999</v>
      </c>
      <c r="E89" s="137" t="s">
        <v>940</v>
      </c>
      <c r="F89" s="161">
        <v>3</v>
      </c>
    </row>
    <row r="90" spans="1:6" x14ac:dyDescent="0.25">
      <c r="A90" s="99">
        <f t="shared" si="1"/>
        <v>89</v>
      </c>
      <c r="B90" s="5" t="s">
        <v>100</v>
      </c>
      <c r="C90" s="12">
        <v>103.7165</v>
      </c>
      <c r="D90" s="12">
        <v>1.2669666666666668</v>
      </c>
      <c r="E90" s="137" t="s">
        <v>942</v>
      </c>
      <c r="F90" s="161">
        <v>3</v>
      </c>
    </row>
    <row r="91" spans="1:6" x14ac:dyDescent="0.25">
      <c r="A91" s="99">
        <f t="shared" si="1"/>
        <v>90</v>
      </c>
      <c r="B91" s="5" t="s">
        <v>103</v>
      </c>
      <c r="C91" s="12">
        <v>103.71546666666667</v>
      </c>
      <c r="D91" s="12">
        <v>1.2650333333333332</v>
      </c>
      <c r="E91" s="137" t="s">
        <v>942</v>
      </c>
      <c r="F91" s="161">
        <v>3</v>
      </c>
    </row>
    <row r="92" spans="1:6" x14ac:dyDescent="0.25">
      <c r="A92" s="99">
        <f t="shared" si="1"/>
        <v>91</v>
      </c>
      <c r="B92" s="5" t="s">
        <v>90</v>
      </c>
      <c r="C92" s="12">
        <v>103.72508333333333</v>
      </c>
      <c r="D92" s="12">
        <v>1.2633666666666667</v>
      </c>
      <c r="E92" s="139"/>
      <c r="F92" s="160">
        <v>0</v>
      </c>
    </row>
    <row r="93" spans="1:6" x14ac:dyDescent="0.25">
      <c r="A93" s="99">
        <f t="shared" si="1"/>
        <v>92</v>
      </c>
      <c r="B93" s="5" t="s">
        <v>91</v>
      </c>
      <c r="C93" s="12">
        <v>103.72476666666667</v>
      </c>
      <c r="D93" s="12">
        <v>1.2631000000000001</v>
      </c>
      <c r="E93" s="139"/>
      <c r="F93" s="160">
        <v>0</v>
      </c>
    </row>
    <row r="94" spans="1:6" x14ac:dyDescent="0.25">
      <c r="A94" s="99">
        <f t="shared" si="1"/>
        <v>93</v>
      </c>
      <c r="B94" s="5" t="s">
        <v>184</v>
      </c>
      <c r="C94" s="12">
        <v>103.70505</v>
      </c>
      <c r="D94" s="12">
        <v>1.2692666666666668</v>
      </c>
      <c r="E94" s="137" t="s">
        <v>940</v>
      </c>
      <c r="F94" s="161">
        <v>3</v>
      </c>
    </row>
    <row r="95" spans="1:6" x14ac:dyDescent="0.25">
      <c r="A95" s="99">
        <f t="shared" si="1"/>
        <v>94</v>
      </c>
      <c r="B95" s="5" t="s">
        <v>196</v>
      </c>
      <c r="C95" s="12">
        <v>103.7064</v>
      </c>
      <c r="D95" s="12">
        <v>1.2699333333333334</v>
      </c>
      <c r="E95" s="137" t="s">
        <v>932</v>
      </c>
      <c r="F95" s="161">
        <v>3</v>
      </c>
    </row>
    <row r="96" spans="1:6" x14ac:dyDescent="0.25">
      <c r="A96" s="99">
        <f t="shared" si="1"/>
        <v>95</v>
      </c>
      <c r="B96" s="5" t="s">
        <v>198</v>
      </c>
      <c r="C96" s="12">
        <v>103.70699999999999</v>
      </c>
      <c r="D96" s="12">
        <v>1.2690999999999999</v>
      </c>
      <c r="E96" s="136" t="s">
        <v>947</v>
      </c>
      <c r="F96" s="158">
        <v>1</v>
      </c>
    </row>
    <row r="97" spans="1:6" x14ac:dyDescent="0.25">
      <c r="A97" s="99">
        <f t="shared" si="1"/>
        <v>96</v>
      </c>
      <c r="B97" s="5" t="s">
        <v>197</v>
      </c>
      <c r="C97" s="12">
        <v>103.7086</v>
      </c>
      <c r="D97" s="12">
        <v>1.2697833333333333</v>
      </c>
      <c r="E97" s="139"/>
      <c r="F97" s="160">
        <v>0</v>
      </c>
    </row>
    <row r="98" spans="1:6" x14ac:dyDescent="0.25">
      <c r="A98" s="99">
        <f t="shared" si="1"/>
        <v>97</v>
      </c>
      <c r="B98" s="5" t="s">
        <v>133</v>
      </c>
      <c r="C98" s="12">
        <v>103.70435000000001</v>
      </c>
      <c r="D98" s="12">
        <v>1.2671166666666667</v>
      </c>
      <c r="E98" s="134" t="s">
        <v>945</v>
      </c>
      <c r="F98" s="159">
        <v>2</v>
      </c>
    </row>
    <row r="99" spans="1:6" x14ac:dyDescent="0.25">
      <c r="A99" s="99">
        <f t="shared" si="1"/>
        <v>98</v>
      </c>
      <c r="B99" s="5" t="s">
        <v>119</v>
      </c>
      <c r="C99" s="12">
        <v>103.70345</v>
      </c>
      <c r="D99" s="12">
        <v>1.2653166666666666</v>
      </c>
      <c r="E99" s="136" t="s">
        <v>936</v>
      </c>
      <c r="F99" s="158">
        <v>1</v>
      </c>
    </row>
    <row r="100" spans="1:6" x14ac:dyDescent="0.25">
      <c r="A100" s="99">
        <f t="shared" si="1"/>
        <v>99</v>
      </c>
      <c r="B100" s="5" t="s">
        <v>137</v>
      </c>
      <c r="C100" s="12">
        <v>103.70371666666666</v>
      </c>
      <c r="D100" s="12">
        <v>1.2646333333333333</v>
      </c>
      <c r="E100" s="136" t="s">
        <v>936</v>
      </c>
      <c r="F100" s="158">
        <v>1</v>
      </c>
    </row>
    <row r="101" spans="1:6" x14ac:dyDescent="0.25">
      <c r="A101" s="99">
        <f t="shared" si="1"/>
        <v>100</v>
      </c>
      <c r="B101" s="5" t="s">
        <v>149</v>
      </c>
      <c r="C101" s="12">
        <v>103.709</v>
      </c>
      <c r="D101" s="12">
        <v>1.26285</v>
      </c>
      <c r="E101" s="136" t="s">
        <v>936</v>
      </c>
      <c r="F101" s="158">
        <v>1</v>
      </c>
    </row>
    <row r="102" spans="1:6" x14ac:dyDescent="0.25">
      <c r="A102" s="99">
        <f t="shared" si="1"/>
        <v>101</v>
      </c>
      <c r="B102" s="5" t="s">
        <v>151</v>
      </c>
      <c r="C102" s="12">
        <v>103.70991666666667</v>
      </c>
      <c r="D102" s="12">
        <v>1.2622333333333333</v>
      </c>
      <c r="E102" s="136" t="s">
        <v>949</v>
      </c>
      <c r="F102" s="158">
        <v>1</v>
      </c>
    </row>
    <row r="103" spans="1:6" x14ac:dyDescent="0.25">
      <c r="A103" s="99">
        <f t="shared" si="1"/>
        <v>102</v>
      </c>
      <c r="B103" s="5" t="s">
        <v>152</v>
      </c>
      <c r="C103" s="12">
        <v>103.7107</v>
      </c>
      <c r="D103" s="12">
        <v>1.2616666666666667</v>
      </c>
      <c r="E103" s="136" t="s">
        <v>951</v>
      </c>
      <c r="F103" s="158">
        <v>1</v>
      </c>
    </row>
    <row r="104" spans="1:6" x14ac:dyDescent="0.25">
      <c r="A104" s="99">
        <f t="shared" si="1"/>
        <v>103</v>
      </c>
      <c r="B104" s="5" t="s">
        <v>105</v>
      </c>
      <c r="C104" s="12">
        <v>103.70133333333334</v>
      </c>
      <c r="D104" s="12">
        <v>1.2630333333333335</v>
      </c>
      <c r="E104" s="136" t="s">
        <v>936</v>
      </c>
      <c r="F104" s="158">
        <v>1</v>
      </c>
    </row>
    <row r="105" spans="1:6" x14ac:dyDescent="0.25">
      <c r="A105" s="99">
        <f t="shared" si="1"/>
        <v>104</v>
      </c>
      <c r="B105" s="5" t="s">
        <v>118</v>
      </c>
      <c r="C105" s="12">
        <f>(C17+C18)/2</f>
        <v>103.70189999999999</v>
      </c>
      <c r="D105" s="12">
        <f>(D17+D18)/2</f>
        <v>1.2642833333333332</v>
      </c>
      <c r="E105" s="136" t="s">
        <v>948</v>
      </c>
      <c r="F105" s="158">
        <v>1</v>
      </c>
    </row>
    <row r="106" spans="1:6" x14ac:dyDescent="0.25">
      <c r="A106" s="99">
        <f t="shared" si="1"/>
        <v>105</v>
      </c>
      <c r="B106" s="5" t="s">
        <v>119</v>
      </c>
      <c r="C106" s="12">
        <v>103.70208333333333</v>
      </c>
      <c r="D106" s="12">
        <v>1.2637499999999999</v>
      </c>
      <c r="E106" s="136" t="s">
        <v>936</v>
      </c>
      <c r="F106" s="158">
        <v>1</v>
      </c>
    </row>
    <row r="107" spans="1:6" x14ac:dyDescent="0.25">
      <c r="A107" s="99">
        <f t="shared" si="1"/>
        <v>106</v>
      </c>
      <c r="B107" s="5" t="s">
        <v>120</v>
      </c>
      <c r="C107" s="12">
        <v>103.70291666666667</v>
      </c>
      <c r="D107" s="12">
        <v>1.2636000000000001</v>
      </c>
      <c r="E107" s="134" t="s">
        <v>928</v>
      </c>
      <c r="F107" s="159">
        <v>2</v>
      </c>
    </row>
    <row r="108" spans="1:6" x14ac:dyDescent="0.25">
      <c r="A108" s="99">
        <f t="shared" si="1"/>
        <v>107</v>
      </c>
      <c r="B108" s="5" t="s">
        <v>121</v>
      </c>
      <c r="C108" s="12">
        <v>103.7022</v>
      </c>
      <c r="D108" s="12">
        <v>1.2645833333333334</v>
      </c>
      <c r="E108" s="136" t="s">
        <v>936</v>
      </c>
      <c r="F108" s="158">
        <v>1</v>
      </c>
    </row>
    <row r="109" spans="1:6" x14ac:dyDescent="0.25">
      <c r="A109" s="99">
        <f t="shared" si="1"/>
        <v>108</v>
      </c>
      <c r="B109" s="5" t="s">
        <v>111</v>
      </c>
      <c r="C109" s="12">
        <v>103.70091666666667</v>
      </c>
      <c r="D109" s="12">
        <v>1.2603333333333333</v>
      </c>
      <c r="E109" s="134" t="s">
        <v>943</v>
      </c>
      <c r="F109" s="159">
        <v>2</v>
      </c>
    </row>
    <row r="110" spans="1:6" x14ac:dyDescent="0.25">
      <c r="A110" s="99">
        <f t="shared" si="1"/>
        <v>109</v>
      </c>
      <c r="B110" s="5" t="s">
        <v>131</v>
      </c>
      <c r="C110" s="12">
        <v>103.70175</v>
      </c>
      <c r="D110" s="12">
        <v>1.2598</v>
      </c>
      <c r="E110" s="134" t="s">
        <v>928</v>
      </c>
      <c r="F110" s="159">
        <v>2</v>
      </c>
    </row>
    <row r="111" spans="1:6" x14ac:dyDescent="0.25">
      <c r="A111" s="99">
        <f t="shared" si="1"/>
        <v>110</v>
      </c>
      <c r="B111" s="5" t="s">
        <v>141</v>
      </c>
      <c r="C111" s="12">
        <v>103.70151666666666</v>
      </c>
      <c r="D111" s="12">
        <v>1.2564666666666666</v>
      </c>
      <c r="E111" s="134" t="s">
        <v>928</v>
      </c>
      <c r="F111" s="159">
        <v>2</v>
      </c>
    </row>
    <row r="112" spans="1:6" x14ac:dyDescent="0.25">
      <c r="A112" s="99">
        <f t="shared" si="1"/>
        <v>111</v>
      </c>
      <c r="B112" s="5" t="s">
        <v>143</v>
      </c>
      <c r="C112" s="12">
        <v>103.70233333333333</v>
      </c>
      <c r="D112" s="12">
        <v>1.25335</v>
      </c>
      <c r="E112" s="134" t="s">
        <v>928</v>
      </c>
      <c r="F112" s="159">
        <v>2</v>
      </c>
    </row>
    <row r="113" spans="1:6" x14ac:dyDescent="0.25">
      <c r="A113" s="99">
        <f t="shared" si="1"/>
        <v>112</v>
      </c>
      <c r="B113" s="5" t="s">
        <v>148</v>
      </c>
      <c r="C113" s="12">
        <v>103.70318333333333</v>
      </c>
      <c r="D113" s="12">
        <v>1.25905</v>
      </c>
      <c r="E113" s="139"/>
      <c r="F113" s="160">
        <v>0</v>
      </c>
    </row>
    <row r="114" spans="1:6" x14ac:dyDescent="0.25">
      <c r="A114" s="99">
        <f t="shared" si="1"/>
        <v>113</v>
      </c>
      <c r="B114" s="5" t="s">
        <v>153</v>
      </c>
      <c r="C114" s="12">
        <v>103.70395000000001</v>
      </c>
      <c r="D114" s="12">
        <v>1.2586999999999999</v>
      </c>
      <c r="E114" s="136" t="s">
        <v>939</v>
      </c>
      <c r="F114" s="158">
        <v>1</v>
      </c>
    </row>
    <row r="115" spans="1:6" x14ac:dyDescent="0.25">
      <c r="A115" s="99">
        <f t="shared" si="1"/>
        <v>114</v>
      </c>
      <c r="B115" s="5" t="s">
        <v>154</v>
      </c>
      <c r="C115" s="12">
        <v>103.70440000000001</v>
      </c>
      <c r="D115" s="12">
        <v>1.2593166666666666</v>
      </c>
      <c r="E115" s="136" t="s">
        <v>954</v>
      </c>
      <c r="F115" s="158">
        <v>1</v>
      </c>
    </row>
    <row r="116" spans="1:6" x14ac:dyDescent="0.25">
      <c r="A116" s="99">
        <f t="shared" si="1"/>
        <v>115</v>
      </c>
      <c r="B116" s="5" t="s">
        <v>158</v>
      </c>
      <c r="C116" s="12">
        <v>103.70538333333333</v>
      </c>
      <c r="D116" s="12">
        <v>1.2581333333333333</v>
      </c>
      <c r="E116" s="136" t="s">
        <v>952</v>
      </c>
      <c r="F116" s="158">
        <v>1</v>
      </c>
    </row>
    <row r="117" spans="1:6" x14ac:dyDescent="0.25">
      <c r="A117" s="99">
        <f t="shared" si="1"/>
        <v>116</v>
      </c>
      <c r="B117" s="5" t="s">
        <v>159</v>
      </c>
      <c r="C117" s="12">
        <v>103.70653333333334</v>
      </c>
      <c r="D117" s="12">
        <v>1.2583166666666667</v>
      </c>
      <c r="E117" s="136" t="s">
        <v>955</v>
      </c>
      <c r="F117" s="158">
        <v>1</v>
      </c>
    </row>
    <row r="118" spans="1:6" x14ac:dyDescent="0.25">
      <c r="A118" s="99">
        <f t="shared" si="1"/>
        <v>117</v>
      </c>
      <c r="B118" s="5" t="s">
        <v>160</v>
      </c>
      <c r="C118" s="12">
        <v>103.70653333333334</v>
      </c>
      <c r="D118" s="12">
        <v>1.2583166666666667</v>
      </c>
      <c r="E118" s="136" t="s">
        <v>955</v>
      </c>
      <c r="F118" s="158">
        <v>1</v>
      </c>
    </row>
    <row r="119" spans="1:6" x14ac:dyDescent="0.25">
      <c r="A119" s="99">
        <f t="shared" si="1"/>
        <v>118</v>
      </c>
      <c r="B119" s="5" t="s">
        <v>163</v>
      </c>
      <c r="C119" s="12">
        <v>103.70653333333334</v>
      </c>
      <c r="D119" s="12">
        <v>1.2583166666666667</v>
      </c>
      <c r="E119" s="136" t="s">
        <v>955</v>
      </c>
      <c r="F119" s="158">
        <v>1</v>
      </c>
    </row>
    <row r="120" spans="1:6" x14ac:dyDescent="0.25">
      <c r="A120" s="99">
        <f t="shared" si="1"/>
        <v>119</v>
      </c>
      <c r="B120" s="5" t="s">
        <v>162</v>
      </c>
      <c r="C120" s="12">
        <v>103.67861666666667</v>
      </c>
      <c r="D120" s="12">
        <v>1.2661833333333332</v>
      </c>
      <c r="E120" s="133" t="s">
        <v>953</v>
      </c>
      <c r="F120" s="162">
        <v>4</v>
      </c>
    </row>
    <row r="121" spans="1:6" x14ac:dyDescent="0.25">
      <c r="A121" s="99">
        <f t="shared" si="1"/>
        <v>120</v>
      </c>
      <c r="B121" s="5" t="s">
        <v>161</v>
      </c>
      <c r="C121" s="12">
        <v>103.68</v>
      </c>
      <c r="D121" s="12">
        <v>1.2626166666666667</v>
      </c>
      <c r="E121" s="133" t="s">
        <v>953</v>
      </c>
      <c r="F121" s="162">
        <v>4</v>
      </c>
    </row>
    <row r="122" spans="1:6" x14ac:dyDescent="0.25">
      <c r="A122" s="99">
        <f t="shared" si="1"/>
        <v>121</v>
      </c>
      <c r="B122" s="5" t="s">
        <v>110</v>
      </c>
      <c r="C122" s="12">
        <v>103.6994</v>
      </c>
      <c r="D122" s="12">
        <v>1.2600666666666667</v>
      </c>
      <c r="E122" s="136" t="s">
        <v>956</v>
      </c>
      <c r="F122" s="158">
        <v>1</v>
      </c>
    </row>
    <row r="123" spans="1:6" x14ac:dyDescent="0.25">
      <c r="A123" s="99">
        <f t="shared" si="1"/>
        <v>122</v>
      </c>
      <c r="B123" s="5" t="s">
        <v>124</v>
      </c>
      <c r="C123" s="12">
        <v>103.6981</v>
      </c>
      <c r="D123" s="12">
        <v>1.25935</v>
      </c>
      <c r="E123" s="136" t="s">
        <v>956</v>
      </c>
      <c r="F123" s="158">
        <v>1</v>
      </c>
    </row>
    <row r="124" spans="1:6" x14ac:dyDescent="0.25">
      <c r="A124" s="99">
        <f t="shared" si="1"/>
        <v>123</v>
      </c>
      <c r="B124" s="5" t="s">
        <v>128</v>
      </c>
      <c r="C124" s="12">
        <v>103.69851666666666</v>
      </c>
      <c r="D124" s="12">
        <v>1.2589333333333332</v>
      </c>
      <c r="E124" s="133" t="s">
        <v>953</v>
      </c>
      <c r="F124" s="162">
        <v>4</v>
      </c>
    </row>
    <row r="125" spans="1:6" x14ac:dyDescent="0.25">
      <c r="A125" s="99">
        <f t="shared" si="1"/>
        <v>124</v>
      </c>
      <c r="B125" s="5" t="s">
        <v>138</v>
      </c>
      <c r="C125" s="12">
        <v>103.69856666666666</v>
      </c>
      <c r="D125" s="12">
        <v>1.2546333333333333</v>
      </c>
      <c r="E125" s="136" t="s">
        <v>936</v>
      </c>
      <c r="F125" s="158">
        <v>1</v>
      </c>
    </row>
    <row r="126" spans="1:6" x14ac:dyDescent="0.25">
      <c r="A126" s="99">
        <f t="shared" si="1"/>
        <v>125</v>
      </c>
      <c r="B126" s="5" t="s">
        <v>139</v>
      </c>
      <c r="C126" s="12">
        <v>103.69889999999999</v>
      </c>
      <c r="D126" s="12">
        <v>1.2533833333333333</v>
      </c>
      <c r="E126" s="136" t="s">
        <v>957</v>
      </c>
      <c r="F126" s="158">
        <v>1</v>
      </c>
    </row>
    <row r="127" spans="1:6" x14ac:dyDescent="0.25">
      <c r="A127" s="99">
        <f t="shared" si="1"/>
        <v>126</v>
      </c>
      <c r="B127" s="5" t="s">
        <v>144</v>
      </c>
      <c r="C127" s="12">
        <v>103.69733333333333</v>
      </c>
      <c r="D127" s="12">
        <v>1.2534333333333334</v>
      </c>
      <c r="E127" s="136" t="s">
        <v>957</v>
      </c>
      <c r="F127" s="158">
        <v>1</v>
      </c>
    </row>
    <row r="128" spans="1:6" x14ac:dyDescent="0.25">
      <c r="A128" s="99">
        <f t="shared" si="1"/>
        <v>127</v>
      </c>
      <c r="B128" s="5" t="s">
        <v>106</v>
      </c>
      <c r="C128" s="12">
        <v>103.69886666666666</v>
      </c>
      <c r="D128" s="12">
        <v>1.2619333333333334</v>
      </c>
      <c r="E128" s="136" t="s">
        <v>957</v>
      </c>
      <c r="F128" s="158">
        <v>1</v>
      </c>
    </row>
    <row r="129" spans="1:6" x14ac:dyDescent="0.25">
      <c r="A129" s="99">
        <f t="shared" si="1"/>
        <v>128</v>
      </c>
      <c r="B129" s="5" t="s">
        <v>108</v>
      </c>
      <c r="C129" s="12">
        <v>103.6992</v>
      </c>
      <c r="D129" s="12">
        <v>1.2625333333333333</v>
      </c>
      <c r="E129" s="136" t="s">
        <v>955</v>
      </c>
      <c r="F129" s="158">
        <v>1</v>
      </c>
    </row>
    <row r="130" spans="1:6" x14ac:dyDescent="0.25">
      <c r="A130" s="99">
        <f t="shared" si="1"/>
        <v>129</v>
      </c>
      <c r="B130" s="5" t="s">
        <v>109</v>
      </c>
      <c r="C130" s="12">
        <v>103.69456666666666</v>
      </c>
      <c r="D130" s="12">
        <v>1.2598499999999999</v>
      </c>
      <c r="E130" s="149" t="s">
        <v>978</v>
      </c>
      <c r="F130" s="163">
        <v>1</v>
      </c>
    </row>
    <row r="131" spans="1:6" x14ac:dyDescent="0.25">
      <c r="A131" s="99">
        <f t="shared" si="1"/>
        <v>130</v>
      </c>
      <c r="B131" s="5" t="s">
        <v>118</v>
      </c>
      <c r="C131" s="12">
        <v>103.69821666666667</v>
      </c>
      <c r="D131" s="12">
        <v>1.2633666666666667</v>
      </c>
      <c r="E131" s="136" t="s">
        <v>936</v>
      </c>
      <c r="F131" s="158">
        <v>1</v>
      </c>
    </row>
    <row r="132" spans="1:6" x14ac:dyDescent="0.25">
      <c r="A132" s="99">
        <f t="shared" ref="A132:A195" si="2">A131+1</f>
        <v>131</v>
      </c>
      <c r="B132" s="5" t="s">
        <v>123</v>
      </c>
      <c r="C132" s="12">
        <v>103.69718333333333</v>
      </c>
      <c r="D132" s="12">
        <v>1.2631000000000001</v>
      </c>
      <c r="E132" s="136" t="s">
        <v>936</v>
      </c>
      <c r="F132" s="158">
        <v>1</v>
      </c>
    </row>
    <row r="133" spans="1:6" x14ac:dyDescent="0.25">
      <c r="A133" s="99">
        <f t="shared" si="2"/>
        <v>132</v>
      </c>
      <c r="B133" s="5" t="s">
        <v>125</v>
      </c>
      <c r="C133" s="12">
        <v>103.69506666666666</v>
      </c>
      <c r="D133" s="12">
        <v>1.2616666666666667</v>
      </c>
      <c r="E133" s="136" t="s">
        <v>936</v>
      </c>
      <c r="F133" s="158">
        <v>1</v>
      </c>
    </row>
    <row r="134" spans="1:6" x14ac:dyDescent="0.25">
      <c r="A134" s="99">
        <f t="shared" si="2"/>
        <v>133</v>
      </c>
      <c r="B134" s="5" t="s">
        <v>132</v>
      </c>
      <c r="C134" s="12">
        <v>103.69459999999999</v>
      </c>
      <c r="D134" s="12">
        <v>1.2652666666666668</v>
      </c>
      <c r="E134" s="136" t="s">
        <v>960</v>
      </c>
      <c r="F134" s="158">
        <v>1</v>
      </c>
    </row>
    <row r="135" spans="1:6" x14ac:dyDescent="0.25">
      <c r="A135" s="99">
        <f t="shared" si="2"/>
        <v>134</v>
      </c>
      <c r="B135" s="5" t="s">
        <v>184</v>
      </c>
      <c r="C135" s="12">
        <v>103.68975</v>
      </c>
      <c r="D135" s="12">
        <v>1.2667333333333333</v>
      </c>
      <c r="E135" s="137" t="s">
        <v>932</v>
      </c>
      <c r="F135" s="161">
        <v>3</v>
      </c>
    </row>
    <row r="136" spans="1:6" x14ac:dyDescent="0.25">
      <c r="A136" s="99">
        <f t="shared" si="2"/>
        <v>135</v>
      </c>
      <c r="B136" s="5" t="s">
        <v>129</v>
      </c>
      <c r="C136" s="12">
        <v>103.68385000000001</v>
      </c>
      <c r="D136" s="12">
        <v>1.2701166666666666</v>
      </c>
      <c r="E136" s="139"/>
      <c r="F136" s="160">
        <v>0</v>
      </c>
    </row>
    <row r="137" spans="1:6" x14ac:dyDescent="0.25">
      <c r="A137" s="99">
        <f t="shared" si="2"/>
        <v>136</v>
      </c>
      <c r="B137" s="5" t="s">
        <v>130</v>
      </c>
      <c r="C137" s="12">
        <v>103.68318333333333</v>
      </c>
      <c r="D137" s="12">
        <v>1.2695833333333333</v>
      </c>
      <c r="E137" s="133" t="s">
        <v>953</v>
      </c>
      <c r="F137" s="162">
        <v>4</v>
      </c>
    </row>
    <row r="138" spans="1:6" x14ac:dyDescent="0.25">
      <c r="A138" s="99">
        <f t="shared" si="2"/>
        <v>137</v>
      </c>
      <c r="B138" s="5" t="s">
        <v>134</v>
      </c>
      <c r="C138" s="12">
        <v>103.68266666666666</v>
      </c>
      <c r="D138" s="12">
        <v>1.2703500000000001</v>
      </c>
      <c r="E138" s="136" t="s">
        <v>936</v>
      </c>
      <c r="F138" s="158">
        <v>1</v>
      </c>
    </row>
    <row r="139" spans="1:6" x14ac:dyDescent="0.25">
      <c r="A139" s="99">
        <f t="shared" si="2"/>
        <v>138</v>
      </c>
      <c r="B139" s="5" t="s">
        <v>135</v>
      </c>
      <c r="C139" s="12">
        <v>103.68174999999999</v>
      </c>
      <c r="D139" s="12">
        <v>1.2697333333333334</v>
      </c>
      <c r="E139" s="136" t="s">
        <v>961</v>
      </c>
      <c r="F139" s="158">
        <v>1</v>
      </c>
    </row>
    <row r="140" spans="1:6" x14ac:dyDescent="0.25">
      <c r="A140" s="99">
        <f t="shared" si="2"/>
        <v>139</v>
      </c>
      <c r="B140" s="5" t="s">
        <v>136</v>
      </c>
      <c r="C140" s="12">
        <v>103.68205</v>
      </c>
      <c r="D140" s="12">
        <v>1.2686999999999999</v>
      </c>
      <c r="E140" s="139"/>
      <c r="F140" s="160">
        <v>0</v>
      </c>
    </row>
    <row r="141" spans="1:6" x14ac:dyDescent="0.25">
      <c r="A141" s="99">
        <f t="shared" si="2"/>
        <v>140</v>
      </c>
      <c r="B141" s="5" t="s">
        <v>116</v>
      </c>
      <c r="C141" s="12">
        <v>103.67836666666666</v>
      </c>
      <c r="D141" s="12">
        <v>1.2755166666666666</v>
      </c>
      <c r="E141" s="139"/>
      <c r="F141" s="160">
        <v>0</v>
      </c>
    </row>
    <row r="142" spans="1:6" x14ac:dyDescent="0.25">
      <c r="A142" s="99">
        <f t="shared" si="2"/>
        <v>141</v>
      </c>
      <c r="B142" s="5" t="s">
        <v>117</v>
      </c>
      <c r="C142" s="12">
        <v>103.67443333333334</v>
      </c>
      <c r="D142" s="12">
        <v>1.2740833333333335</v>
      </c>
      <c r="E142" s="149" t="s">
        <v>978</v>
      </c>
      <c r="F142" s="163">
        <v>1</v>
      </c>
    </row>
    <row r="143" spans="1:6" x14ac:dyDescent="0.25">
      <c r="A143" s="99">
        <f t="shared" si="2"/>
        <v>142</v>
      </c>
      <c r="B143" s="5" t="s">
        <v>114</v>
      </c>
      <c r="C143" s="12">
        <v>103.67675</v>
      </c>
      <c r="D143" s="12">
        <v>1.2769333333333333</v>
      </c>
      <c r="E143" s="139"/>
      <c r="F143" s="160">
        <v>0</v>
      </c>
    </row>
    <row r="144" spans="1:6" x14ac:dyDescent="0.25">
      <c r="A144" s="99">
        <f t="shared" si="2"/>
        <v>143</v>
      </c>
      <c r="B144" s="5" t="s">
        <v>112</v>
      </c>
      <c r="C144" s="12">
        <v>103.6754</v>
      </c>
      <c r="D144" s="12">
        <v>1.2789000000000001</v>
      </c>
      <c r="E144" s="139"/>
      <c r="F144" s="160">
        <v>0</v>
      </c>
    </row>
    <row r="145" spans="1:6" x14ac:dyDescent="0.25">
      <c r="A145" s="99">
        <f t="shared" si="2"/>
        <v>144</v>
      </c>
      <c r="B145" s="5" t="s">
        <v>113</v>
      </c>
      <c r="C145" s="12">
        <v>103.67368333333333</v>
      </c>
      <c r="D145" s="12">
        <v>1.2796833333333333</v>
      </c>
      <c r="E145" s="139"/>
      <c r="F145" s="160">
        <v>0</v>
      </c>
    </row>
    <row r="146" spans="1:6" x14ac:dyDescent="0.25">
      <c r="A146" s="99">
        <f t="shared" si="2"/>
        <v>145</v>
      </c>
      <c r="B146" s="5" t="s">
        <v>142</v>
      </c>
      <c r="C146" s="12">
        <v>103.67789999999999</v>
      </c>
      <c r="D146" s="12">
        <v>1.2822499999999999</v>
      </c>
      <c r="E146" s="139"/>
      <c r="F146" s="160">
        <v>0</v>
      </c>
    </row>
    <row r="147" spans="1:6" x14ac:dyDescent="0.25">
      <c r="A147" s="99">
        <f t="shared" si="2"/>
        <v>146</v>
      </c>
      <c r="B147" s="5" t="s">
        <v>146</v>
      </c>
      <c r="C147" s="12">
        <v>103.67593333333333</v>
      </c>
      <c r="D147" s="12">
        <v>1.28285</v>
      </c>
      <c r="E147" s="134" t="s">
        <v>928</v>
      </c>
      <c r="F147" s="159">
        <v>2</v>
      </c>
    </row>
    <row r="148" spans="1:6" x14ac:dyDescent="0.25">
      <c r="A148" s="99">
        <f t="shared" si="2"/>
        <v>147</v>
      </c>
      <c r="B148" s="5" t="s">
        <v>213</v>
      </c>
      <c r="C148" s="12">
        <v>103.6795</v>
      </c>
      <c r="D148" s="12">
        <v>1.2814666666666668</v>
      </c>
      <c r="E148" s="136" t="s">
        <v>936</v>
      </c>
      <c r="F148" s="158">
        <v>1</v>
      </c>
    </row>
    <row r="149" spans="1:6" x14ac:dyDescent="0.25">
      <c r="A149" s="99">
        <f t="shared" si="2"/>
        <v>148</v>
      </c>
      <c r="B149" s="5" t="s">
        <v>215</v>
      </c>
      <c r="C149" s="12">
        <v>103.68015</v>
      </c>
      <c r="D149" s="12">
        <v>1.2812333333333332</v>
      </c>
      <c r="E149" s="149" t="s">
        <v>978</v>
      </c>
      <c r="F149" s="163">
        <v>1</v>
      </c>
    </row>
    <row r="150" spans="1:6" x14ac:dyDescent="0.25">
      <c r="A150" s="99">
        <f t="shared" si="2"/>
        <v>149</v>
      </c>
      <c r="B150" s="5" t="s">
        <v>241</v>
      </c>
      <c r="C150" s="12">
        <v>103.68371666666667</v>
      </c>
      <c r="D150" s="12">
        <v>1.2873333333333332</v>
      </c>
      <c r="E150" s="137" t="s">
        <v>932</v>
      </c>
      <c r="F150" s="161">
        <v>3</v>
      </c>
    </row>
    <row r="151" spans="1:6" x14ac:dyDescent="0.25">
      <c r="A151" s="99">
        <f t="shared" si="2"/>
        <v>150</v>
      </c>
      <c r="B151" s="5" t="s">
        <v>192</v>
      </c>
      <c r="C151" s="12">
        <v>103.68468333333334</v>
      </c>
      <c r="D151" s="12">
        <v>1.2517166666666666</v>
      </c>
      <c r="E151" s="149" t="s">
        <v>978</v>
      </c>
      <c r="F151" s="163">
        <v>1</v>
      </c>
    </row>
    <row r="152" spans="1:6" x14ac:dyDescent="0.25">
      <c r="A152" s="99">
        <f t="shared" si="2"/>
        <v>151</v>
      </c>
      <c r="B152" s="5" t="s">
        <v>193</v>
      </c>
      <c r="C152" s="12">
        <v>103.68556666666667</v>
      </c>
      <c r="D152" s="12">
        <v>1.2519333333333333</v>
      </c>
      <c r="E152" s="139"/>
      <c r="F152" s="160">
        <v>0</v>
      </c>
    </row>
    <row r="153" spans="1:6" x14ac:dyDescent="0.25">
      <c r="A153" s="99">
        <f t="shared" si="2"/>
        <v>152</v>
      </c>
      <c r="B153" s="5" t="s">
        <v>204</v>
      </c>
      <c r="C153" s="12">
        <v>103.6848</v>
      </c>
      <c r="D153" s="12">
        <v>1.2493166666666666</v>
      </c>
      <c r="E153" s="133" t="s">
        <v>953</v>
      </c>
      <c r="F153" s="162">
        <v>4</v>
      </c>
    </row>
    <row r="154" spans="1:6" x14ac:dyDescent="0.25">
      <c r="A154" s="99">
        <f t="shared" si="2"/>
        <v>153</v>
      </c>
      <c r="B154" s="5" t="s">
        <v>220</v>
      </c>
      <c r="C154" s="12">
        <f>(C153+A155)/2</f>
        <v>128.8424</v>
      </c>
      <c r="D154" s="12" t="e">
        <f>(D153+B155)/2</f>
        <v>#VALUE!</v>
      </c>
      <c r="E154" s="133" t="s">
        <v>953</v>
      </c>
      <c r="F154" s="162">
        <v>4</v>
      </c>
    </row>
    <row r="155" spans="1:6" x14ac:dyDescent="0.25">
      <c r="A155" s="99">
        <f t="shared" si="2"/>
        <v>154</v>
      </c>
      <c r="B155" s="5" t="s">
        <v>222</v>
      </c>
      <c r="C155" s="12">
        <f>(C156+C157)/2</f>
        <v>103.6831</v>
      </c>
      <c r="D155" s="12">
        <f>(D156+D157)/2</f>
        <v>1.2388583333333334</v>
      </c>
      <c r="E155" s="133" t="s">
        <v>953</v>
      </c>
      <c r="F155" s="162">
        <v>4</v>
      </c>
    </row>
    <row r="156" spans="1:6" x14ac:dyDescent="0.25">
      <c r="A156" s="99">
        <f t="shared" si="2"/>
        <v>155</v>
      </c>
      <c r="B156" s="5" t="s">
        <v>224</v>
      </c>
      <c r="C156" s="12">
        <v>103.68606666666666</v>
      </c>
      <c r="D156" s="12">
        <v>1.2419500000000001</v>
      </c>
      <c r="E156" s="133" t="s">
        <v>953</v>
      </c>
      <c r="F156" s="162">
        <v>4</v>
      </c>
    </row>
    <row r="157" spans="1:6" x14ac:dyDescent="0.25">
      <c r="A157" s="99">
        <f t="shared" si="2"/>
        <v>156</v>
      </c>
      <c r="B157" s="5" t="s">
        <v>229</v>
      </c>
      <c r="C157" s="12">
        <v>103.68013333333333</v>
      </c>
      <c r="D157" s="12">
        <v>1.2357666666666667</v>
      </c>
      <c r="E157" s="139"/>
      <c r="F157" s="160">
        <v>0</v>
      </c>
    </row>
    <row r="158" spans="1:6" x14ac:dyDescent="0.25">
      <c r="A158" s="99">
        <f t="shared" si="2"/>
        <v>157</v>
      </c>
      <c r="B158" s="5" t="s">
        <v>230</v>
      </c>
      <c r="C158" s="12">
        <v>103.68013333333333</v>
      </c>
      <c r="D158" s="12">
        <v>1.2357666666666667</v>
      </c>
      <c r="E158" s="139"/>
      <c r="F158" s="160">
        <v>0</v>
      </c>
    </row>
    <row r="159" spans="1:6" x14ac:dyDescent="0.25">
      <c r="A159" s="99">
        <f t="shared" si="2"/>
        <v>158</v>
      </c>
      <c r="B159" s="5" t="s">
        <v>236</v>
      </c>
      <c r="C159" s="12">
        <v>103.67698333333334</v>
      </c>
      <c r="D159" s="12">
        <v>1.2259333333333333</v>
      </c>
      <c r="E159" s="133" t="s">
        <v>953</v>
      </c>
      <c r="F159" s="162">
        <v>4</v>
      </c>
    </row>
    <row r="160" spans="1:6" x14ac:dyDescent="0.25">
      <c r="A160" s="99">
        <f t="shared" si="2"/>
        <v>159</v>
      </c>
      <c r="B160" s="5" t="s">
        <v>232</v>
      </c>
      <c r="C160" s="12">
        <v>103.67728333333334</v>
      </c>
      <c r="D160" s="12">
        <v>1.23465</v>
      </c>
      <c r="E160" s="149" t="s">
        <v>978</v>
      </c>
      <c r="F160" s="163">
        <v>1</v>
      </c>
    </row>
    <row r="161" spans="1:6" x14ac:dyDescent="0.25">
      <c r="A161" s="99">
        <f t="shared" si="2"/>
        <v>160</v>
      </c>
      <c r="B161" s="5" t="s">
        <v>233</v>
      </c>
      <c r="C161" s="12">
        <v>103.67728333333334</v>
      </c>
      <c r="D161" s="12">
        <v>1.23465</v>
      </c>
      <c r="E161" s="149" t="s">
        <v>978</v>
      </c>
      <c r="F161" s="163">
        <v>1</v>
      </c>
    </row>
    <row r="162" spans="1:6" x14ac:dyDescent="0.25">
      <c r="A162" s="99">
        <f t="shared" si="2"/>
        <v>161</v>
      </c>
      <c r="B162" s="5" t="s">
        <v>237</v>
      </c>
      <c r="C162" s="12">
        <v>103.67553333333333</v>
      </c>
      <c r="D162" s="12">
        <v>1.2336333333333334</v>
      </c>
      <c r="E162" s="133" t="s">
        <v>953</v>
      </c>
      <c r="F162" s="162">
        <v>4</v>
      </c>
    </row>
    <row r="163" spans="1:6" x14ac:dyDescent="0.25">
      <c r="A163" s="99">
        <f t="shared" si="2"/>
        <v>162</v>
      </c>
      <c r="B163" s="5" t="s">
        <v>239</v>
      </c>
      <c r="C163" s="12">
        <v>103.67553333333333</v>
      </c>
      <c r="D163" s="12">
        <v>1.2336333333333334</v>
      </c>
      <c r="E163" s="133" t="s">
        <v>953</v>
      </c>
      <c r="F163" s="162">
        <v>4</v>
      </c>
    </row>
    <row r="164" spans="1:6" x14ac:dyDescent="0.25">
      <c r="A164" s="99">
        <f t="shared" si="2"/>
        <v>163</v>
      </c>
      <c r="B164" s="5" t="s">
        <v>238</v>
      </c>
      <c r="C164" s="12">
        <v>103.67413333333333</v>
      </c>
      <c r="D164" s="12">
        <v>1.2322500000000001</v>
      </c>
      <c r="E164" s="149" t="s">
        <v>978</v>
      </c>
      <c r="F164" s="163">
        <v>1</v>
      </c>
    </row>
    <row r="165" spans="1:6" x14ac:dyDescent="0.25">
      <c r="A165" s="99">
        <f t="shared" si="2"/>
        <v>164</v>
      </c>
      <c r="B165" s="5" t="s">
        <v>190</v>
      </c>
      <c r="C165" s="12">
        <v>103.67471666666667</v>
      </c>
      <c r="D165" s="12">
        <v>1.2527999999999999</v>
      </c>
      <c r="E165" s="149" t="s">
        <v>978</v>
      </c>
      <c r="F165" s="163">
        <v>1</v>
      </c>
    </row>
    <row r="166" spans="1:6" x14ac:dyDescent="0.25">
      <c r="A166" s="99">
        <f t="shared" si="2"/>
        <v>165</v>
      </c>
      <c r="B166" s="5" t="s">
        <v>207</v>
      </c>
      <c r="C166" s="12">
        <v>103.67556666666667</v>
      </c>
      <c r="D166" s="12">
        <v>1.2454833333333333</v>
      </c>
      <c r="E166" s="149" t="s">
        <v>978</v>
      </c>
      <c r="F166" s="163">
        <v>1</v>
      </c>
    </row>
    <row r="167" spans="1:6" x14ac:dyDescent="0.25">
      <c r="A167" s="99">
        <f t="shared" si="2"/>
        <v>166</v>
      </c>
      <c r="B167" s="5" t="s">
        <v>210</v>
      </c>
      <c r="C167" s="12">
        <v>103.6759</v>
      </c>
      <c r="D167" s="12">
        <v>1.2445333333333333</v>
      </c>
      <c r="E167" s="149" t="s">
        <v>978</v>
      </c>
      <c r="F167" s="163">
        <v>1</v>
      </c>
    </row>
    <row r="168" spans="1:6" x14ac:dyDescent="0.25">
      <c r="A168" s="99">
        <f t="shared" si="2"/>
        <v>167</v>
      </c>
      <c r="B168" s="5" t="s">
        <v>208</v>
      </c>
      <c r="C168" s="12">
        <v>103.67333333333333</v>
      </c>
      <c r="D168" s="12">
        <v>1.2453333333333334</v>
      </c>
      <c r="E168" s="149" t="s">
        <v>978</v>
      </c>
      <c r="F168" s="163">
        <v>1</v>
      </c>
    </row>
    <row r="169" spans="1:6" x14ac:dyDescent="0.25">
      <c r="A169" s="99">
        <f t="shared" si="2"/>
        <v>168</v>
      </c>
      <c r="B169" s="5" t="s">
        <v>209</v>
      </c>
      <c r="C169" s="12">
        <v>103.67400000000001</v>
      </c>
      <c r="D169" s="12">
        <v>1.2463833333333334</v>
      </c>
      <c r="E169" s="139"/>
      <c r="F169" s="160">
        <v>0</v>
      </c>
    </row>
    <row r="170" spans="1:6" x14ac:dyDescent="0.25">
      <c r="A170" s="99">
        <f t="shared" si="2"/>
        <v>169</v>
      </c>
      <c r="B170" s="5" t="s">
        <v>165</v>
      </c>
      <c r="C170" s="12">
        <v>103.66453333333334</v>
      </c>
      <c r="D170" s="12">
        <v>1.2666500000000001</v>
      </c>
      <c r="E170" s="149" t="s">
        <v>978</v>
      </c>
      <c r="F170" s="163">
        <v>1</v>
      </c>
    </row>
    <row r="171" spans="1:6" x14ac:dyDescent="0.25">
      <c r="A171" s="99">
        <f t="shared" si="2"/>
        <v>170</v>
      </c>
      <c r="B171" s="5" t="s">
        <v>167</v>
      </c>
      <c r="C171" s="12">
        <v>103.66445</v>
      </c>
      <c r="D171" s="12">
        <v>1.2656499999999999</v>
      </c>
      <c r="E171" s="149" t="s">
        <v>978</v>
      </c>
      <c r="F171" s="163">
        <v>1</v>
      </c>
    </row>
    <row r="172" spans="1:6" x14ac:dyDescent="0.25">
      <c r="A172" s="99">
        <f t="shared" si="2"/>
        <v>171</v>
      </c>
      <c r="B172" s="5" t="s">
        <v>170</v>
      </c>
      <c r="C172" s="12">
        <v>103.66566666666667</v>
      </c>
      <c r="D172" s="12">
        <v>1.2688666666666668</v>
      </c>
      <c r="E172" s="139"/>
      <c r="F172" s="160">
        <v>0</v>
      </c>
    </row>
    <row r="173" spans="1:6" x14ac:dyDescent="0.25">
      <c r="A173" s="99">
        <f t="shared" si="2"/>
        <v>172</v>
      </c>
      <c r="B173" s="5" t="s">
        <v>172</v>
      </c>
      <c r="C173" s="12">
        <v>103.66419999999999</v>
      </c>
      <c r="D173" s="12">
        <v>1.2707833333333334</v>
      </c>
      <c r="E173" s="139"/>
      <c r="F173" s="160">
        <v>0</v>
      </c>
    </row>
    <row r="174" spans="1:6" x14ac:dyDescent="0.25">
      <c r="A174" s="99">
        <f t="shared" si="2"/>
        <v>173</v>
      </c>
      <c r="B174" s="5" t="s">
        <v>174</v>
      </c>
      <c r="C174" s="12">
        <v>103.66213333333333</v>
      </c>
      <c r="D174" s="12">
        <v>1.27135</v>
      </c>
      <c r="E174" s="139"/>
      <c r="F174" s="160">
        <v>0</v>
      </c>
    </row>
    <row r="175" spans="1:6" x14ac:dyDescent="0.25">
      <c r="A175" s="99">
        <f t="shared" si="2"/>
        <v>174</v>
      </c>
      <c r="B175" s="5" t="s">
        <v>176</v>
      </c>
      <c r="C175" s="12">
        <v>103.66241666666667</v>
      </c>
      <c r="D175" s="12">
        <v>1.2705</v>
      </c>
      <c r="E175" s="136" t="s">
        <v>936</v>
      </c>
      <c r="F175" s="158">
        <v>1</v>
      </c>
    </row>
    <row r="176" spans="1:6" x14ac:dyDescent="0.25">
      <c r="A176" s="99">
        <f t="shared" si="2"/>
        <v>175</v>
      </c>
      <c r="B176" s="5" t="s">
        <v>175</v>
      </c>
      <c r="C176" s="12">
        <v>103.66131666666666</v>
      </c>
      <c r="D176" s="12">
        <v>1.2708166666666667</v>
      </c>
      <c r="E176" s="149" t="s">
        <v>978</v>
      </c>
      <c r="F176" s="163">
        <v>1</v>
      </c>
    </row>
    <row r="177" spans="1:6" x14ac:dyDescent="0.25">
      <c r="A177" s="99">
        <f t="shared" si="2"/>
        <v>176</v>
      </c>
      <c r="B177" s="5" t="s">
        <v>183</v>
      </c>
      <c r="C177" s="12">
        <v>103.66413333333334</v>
      </c>
      <c r="D177" s="12">
        <v>1.2728166666666667</v>
      </c>
      <c r="E177" s="133" t="s">
        <v>953</v>
      </c>
      <c r="F177" s="162">
        <v>4</v>
      </c>
    </row>
    <row r="178" spans="1:6" x14ac:dyDescent="0.25">
      <c r="A178" s="99">
        <f t="shared" si="2"/>
        <v>177</v>
      </c>
      <c r="B178" s="5" t="s">
        <v>189</v>
      </c>
      <c r="C178" s="12">
        <v>103.66716666666667</v>
      </c>
      <c r="D178" s="12">
        <v>1.2750666666666666</v>
      </c>
      <c r="E178" s="133" t="s">
        <v>963</v>
      </c>
      <c r="F178" s="162">
        <v>4</v>
      </c>
    </row>
    <row r="179" spans="1:6" x14ac:dyDescent="0.25">
      <c r="A179" s="99">
        <f t="shared" si="2"/>
        <v>178</v>
      </c>
      <c r="B179" s="5" t="s">
        <v>188</v>
      </c>
      <c r="C179" s="12">
        <v>103.67008333333334</v>
      </c>
      <c r="D179" s="12">
        <v>1.2772166666666667</v>
      </c>
      <c r="E179" s="133"/>
      <c r="F179" s="162">
        <v>4</v>
      </c>
    </row>
    <row r="180" spans="1:6" x14ac:dyDescent="0.25">
      <c r="A180" s="99">
        <f t="shared" si="2"/>
        <v>179</v>
      </c>
      <c r="B180" s="5" t="s">
        <v>173</v>
      </c>
      <c r="C180" s="12">
        <v>103.67223333333334</v>
      </c>
      <c r="D180" s="12">
        <v>1.2711999999999999</v>
      </c>
      <c r="E180" s="133" t="s">
        <v>963</v>
      </c>
      <c r="F180" s="162">
        <v>4</v>
      </c>
    </row>
    <row r="181" spans="1:6" x14ac:dyDescent="0.25">
      <c r="A181" s="99">
        <f t="shared" si="2"/>
        <v>180</v>
      </c>
      <c r="B181" s="5" t="s">
        <v>177</v>
      </c>
      <c r="C181" s="12">
        <f>(C180+C182)/2</f>
        <v>103.67314166666667</v>
      </c>
      <c r="D181" s="12">
        <f>(D180+D182)/2</f>
        <v>1.2718416666666665</v>
      </c>
      <c r="E181" s="149" t="s">
        <v>978</v>
      </c>
      <c r="F181" s="163">
        <v>1</v>
      </c>
    </row>
    <row r="182" spans="1:6" x14ac:dyDescent="0.25">
      <c r="A182" s="99">
        <f t="shared" si="2"/>
        <v>181</v>
      </c>
      <c r="B182" s="5" t="s">
        <v>178</v>
      </c>
      <c r="C182" s="12">
        <v>103.67404999999999</v>
      </c>
      <c r="D182" s="12">
        <v>1.2724833333333334</v>
      </c>
      <c r="E182" s="136" t="s">
        <v>936</v>
      </c>
      <c r="F182" s="158">
        <v>1</v>
      </c>
    </row>
    <row r="183" spans="1:6" x14ac:dyDescent="0.25">
      <c r="A183" s="99">
        <f t="shared" si="2"/>
        <v>182</v>
      </c>
      <c r="B183" s="5" t="s">
        <v>179</v>
      </c>
      <c r="C183" s="12">
        <v>103.67251666666667</v>
      </c>
      <c r="D183" s="12">
        <v>1.2664166666666667</v>
      </c>
      <c r="E183" s="133" t="s">
        <v>963</v>
      </c>
      <c r="F183" s="162">
        <v>4</v>
      </c>
    </row>
    <row r="184" spans="1:6" x14ac:dyDescent="0.25">
      <c r="A184" s="99">
        <f t="shared" si="2"/>
        <v>183</v>
      </c>
      <c r="B184" s="5" t="s">
        <v>180</v>
      </c>
      <c r="C184" s="12">
        <v>103.67205</v>
      </c>
      <c r="D184" s="12">
        <v>1.2626999999999999</v>
      </c>
      <c r="E184" s="149" t="s">
        <v>978</v>
      </c>
      <c r="F184" s="163">
        <v>1</v>
      </c>
    </row>
    <row r="185" spans="1:6" x14ac:dyDescent="0.25">
      <c r="A185" s="99">
        <f t="shared" si="2"/>
        <v>184</v>
      </c>
      <c r="B185" s="5" t="s">
        <v>181</v>
      </c>
      <c r="C185" s="12">
        <v>103.67108333333333</v>
      </c>
      <c r="D185" s="12">
        <v>1.2619833333333332</v>
      </c>
      <c r="E185" s="139"/>
      <c r="F185" s="160">
        <v>0</v>
      </c>
    </row>
    <row r="186" spans="1:6" x14ac:dyDescent="0.25">
      <c r="A186" s="99">
        <f t="shared" si="2"/>
        <v>185</v>
      </c>
      <c r="B186" s="5" t="s">
        <v>171</v>
      </c>
      <c r="C186" s="12">
        <v>103.6673</v>
      </c>
      <c r="D186" s="12">
        <v>1.2661166666666666</v>
      </c>
      <c r="E186" s="136" t="s">
        <v>941</v>
      </c>
      <c r="F186" s="158">
        <v>1</v>
      </c>
    </row>
    <row r="187" spans="1:6" x14ac:dyDescent="0.25">
      <c r="A187" s="99">
        <f t="shared" si="2"/>
        <v>186</v>
      </c>
      <c r="B187" s="5" t="s">
        <v>185</v>
      </c>
      <c r="C187" s="12">
        <v>103.66883333333334</v>
      </c>
      <c r="D187" s="12">
        <v>1.2640166666666666</v>
      </c>
      <c r="E187" s="139"/>
      <c r="F187" s="160">
        <v>0</v>
      </c>
    </row>
    <row r="188" spans="1:6" x14ac:dyDescent="0.25">
      <c r="A188" s="99">
        <f t="shared" si="2"/>
        <v>187</v>
      </c>
      <c r="B188" s="5" t="s">
        <v>186</v>
      </c>
      <c r="C188" s="12">
        <v>103.67125</v>
      </c>
      <c r="D188" s="12">
        <v>1.2602166666666665</v>
      </c>
      <c r="E188" s="139"/>
      <c r="F188" s="160">
        <v>0</v>
      </c>
    </row>
    <row r="189" spans="1:6" x14ac:dyDescent="0.25">
      <c r="A189" s="99">
        <f t="shared" si="2"/>
        <v>188</v>
      </c>
      <c r="B189" s="5" t="s">
        <v>187</v>
      </c>
      <c r="C189" s="12">
        <v>103.67243333333333</v>
      </c>
      <c r="D189" s="12">
        <v>1.2576499999999999</v>
      </c>
      <c r="E189" s="149" t="s">
        <v>978</v>
      </c>
      <c r="F189" s="163">
        <v>1</v>
      </c>
    </row>
    <row r="190" spans="1:6" x14ac:dyDescent="0.25">
      <c r="A190" s="99">
        <f t="shared" si="2"/>
        <v>189</v>
      </c>
      <c r="B190" s="5" t="s">
        <v>199</v>
      </c>
      <c r="C190" s="12">
        <v>103.66913333333333</v>
      </c>
      <c r="D190" s="12">
        <v>1.2606666666666666</v>
      </c>
      <c r="E190" s="136" t="s">
        <v>962</v>
      </c>
      <c r="F190" s="158">
        <v>1</v>
      </c>
    </row>
    <row r="191" spans="1:6" x14ac:dyDescent="0.25">
      <c r="A191" s="99">
        <f t="shared" si="2"/>
        <v>190</v>
      </c>
      <c r="B191" s="5" t="s">
        <v>206</v>
      </c>
      <c r="C191" s="12">
        <v>103.66696666666667</v>
      </c>
      <c r="D191" s="12">
        <v>1.2589999999999999</v>
      </c>
      <c r="E191" s="136" t="s">
        <v>958</v>
      </c>
      <c r="F191" s="158">
        <v>1</v>
      </c>
    </row>
    <row r="192" spans="1:6" x14ac:dyDescent="0.25">
      <c r="A192" s="99">
        <f t="shared" si="2"/>
        <v>191</v>
      </c>
      <c r="B192" s="5" t="s">
        <v>131</v>
      </c>
      <c r="C192" s="12">
        <v>103.66845000000001</v>
      </c>
      <c r="D192" s="12">
        <v>1.2582666666666666</v>
      </c>
      <c r="E192" s="134" t="s">
        <v>928</v>
      </c>
      <c r="F192" s="159">
        <v>2</v>
      </c>
    </row>
    <row r="193" spans="1:6" x14ac:dyDescent="0.25">
      <c r="A193" s="99">
        <f t="shared" si="2"/>
        <v>192</v>
      </c>
      <c r="B193" s="5" t="s">
        <v>200</v>
      </c>
      <c r="C193" s="12">
        <v>103.66773333333333</v>
      </c>
      <c r="D193" s="12">
        <v>1.2562666666666666</v>
      </c>
      <c r="E193" s="149" t="s">
        <v>978</v>
      </c>
      <c r="F193" s="163">
        <v>1</v>
      </c>
    </row>
    <row r="194" spans="1:6" x14ac:dyDescent="0.25">
      <c r="A194" s="99">
        <f t="shared" si="2"/>
        <v>193</v>
      </c>
      <c r="B194" s="5" t="s">
        <v>201</v>
      </c>
      <c r="C194" s="12">
        <v>103.66934999999999</v>
      </c>
      <c r="D194" s="12">
        <v>1.2562166666666665</v>
      </c>
      <c r="E194" s="149" t="s">
        <v>978</v>
      </c>
      <c r="F194" s="163">
        <v>1</v>
      </c>
    </row>
    <row r="195" spans="1:6" x14ac:dyDescent="0.25">
      <c r="A195" s="99">
        <f t="shared" si="2"/>
        <v>194</v>
      </c>
      <c r="B195" s="5" t="s">
        <v>202</v>
      </c>
      <c r="C195" s="12">
        <v>103.66901666666666</v>
      </c>
      <c r="D195" s="12">
        <v>1.2537499999999999</v>
      </c>
      <c r="E195" s="139"/>
      <c r="F195" s="160">
        <v>0</v>
      </c>
    </row>
    <row r="196" spans="1:6" x14ac:dyDescent="0.25">
      <c r="A196" s="99">
        <f t="shared" ref="A196:A209" si="3">A195+1</f>
        <v>195</v>
      </c>
      <c r="B196" s="5" t="s">
        <v>147</v>
      </c>
      <c r="C196" s="12">
        <v>103.68108333333333</v>
      </c>
      <c r="D196" s="12">
        <v>1.2616791666666667</v>
      </c>
      <c r="E196" s="133" t="s">
        <v>953</v>
      </c>
      <c r="F196" s="162">
        <v>4</v>
      </c>
    </row>
    <row r="197" spans="1:6" x14ac:dyDescent="0.25">
      <c r="A197" s="99">
        <f t="shared" si="3"/>
        <v>196</v>
      </c>
      <c r="B197" s="5" t="s">
        <v>203</v>
      </c>
      <c r="C197" s="12">
        <v>103.68075</v>
      </c>
      <c r="D197" s="12">
        <v>1.2535499999999999</v>
      </c>
      <c r="E197" s="139"/>
      <c r="F197" s="160">
        <v>0</v>
      </c>
    </row>
    <row r="198" spans="1:6" x14ac:dyDescent="0.25">
      <c r="A198" s="99">
        <f t="shared" si="3"/>
        <v>197</v>
      </c>
      <c r="B198" s="5" t="s">
        <v>205</v>
      </c>
      <c r="C198" s="12">
        <v>103.68095</v>
      </c>
      <c r="D198" s="12">
        <v>1.2547666666666666</v>
      </c>
      <c r="E198" s="139"/>
      <c r="F198" s="160">
        <v>0</v>
      </c>
    </row>
    <row r="199" spans="1:6" x14ac:dyDescent="0.25">
      <c r="A199" s="99">
        <f t="shared" si="3"/>
        <v>198</v>
      </c>
      <c r="B199" s="5" t="s">
        <v>211</v>
      </c>
      <c r="C199" s="12">
        <v>103.67961666666666</v>
      </c>
      <c r="D199" s="12">
        <v>1.25695</v>
      </c>
      <c r="E199" s="133" t="s">
        <v>953</v>
      </c>
      <c r="F199" s="162">
        <v>4</v>
      </c>
    </row>
    <row r="200" spans="1:6" x14ac:dyDescent="0.25">
      <c r="A200" s="99">
        <f t="shared" si="3"/>
        <v>199</v>
      </c>
      <c r="B200" s="5" t="s">
        <v>214</v>
      </c>
      <c r="C200" s="12">
        <v>103.67908333333334</v>
      </c>
      <c r="D200" s="12">
        <v>1.2575333333333334</v>
      </c>
      <c r="E200" s="139"/>
      <c r="F200" s="160">
        <v>0</v>
      </c>
    </row>
    <row r="201" spans="1:6" x14ac:dyDescent="0.25">
      <c r="A201" s="99">
        <f t="shared" si="3"/>
        <v>200</v>
      </c>
      <c r="B201" s="5" t="s">
        <v>216</v>
      </c>
      <c r="C201" s="12">
        <v>103.67633333333333</v>
      </c>
      <c r="D201" s="12">
        <v>1.2593166666666666</v>
      </c>
      <c r="E201" s="136" t="s">
        <v>941</v>
      </c>
      <c r="F201" s="158">
        <v>1</v>
      </c>
    </row>
    <row r="202" spans="1:6" x14ac:dyDescent="0.25">
      <c r="A202" s="99">
        <f t="shared" si="3"/>
        <v>201</v>
      </c>
      <c r="B202" s="5" t="s">
        <v>218</v>
      </c>
      <c r="C202" s="12">
        <v>103.67491666666666</v>
      </c>
      <c r="D202" s="12">
        <v>1.2615499999999999</v>
      </c>
      <c r="E202" s="134" t="s">
        <v>928</v>
      </c>
      <c r="F202" s="159">
        <v>2</v>
      </c>
    </row>
    <row r="203" spans="1:6" x14ac:dyDescent="0.25">
      <c r="A203" s="99">
        <f t="shared" si="3"/>
        <v>202</v>
      </c>
      <c r="B203" s="5" t="s">
        <v>217</v>
      </c>
      <c r="C203" s="12">
        <v>103.67415</v>
      </c>
      <c r="D203" s="12">
        <v>1.2624</v>
      </c>
      <c r="E203" s="139"/>
      <c r="F203" s="160">
        <v>0</v>
      </c>
    </row>
    <row r="204" spans="1:6" x14ac:dyDescent="0.25">
      <c r="A204" s="99">
        <f t="shared" si="3"/>
        <v>203</v>
      </c>
      <c r="B204" s="5" t="s">
        <v>221</v>
      </c>
      <c r="C204" s="12">
        <v>103.67751666666666</v>
      </c>
      <c r="D204" s="12">
        <v>1.2599666666666667</v>
      </c>
      <c r="E204" s="136" t="s">
        <v>959</v>
      </c>
      <c r="F204" s="158">
        <v>1</v>
      </c>
    </row>
    <row r="205" spans="1:6" x14ac:dyDescent="0.25">
      <c r="A205" s="99">
        <f t="shared" si="3"/>
        <v>204</v>
      </c>
      <c r="B205" s="5" t="s">
        <v>223</v>
      </c>
      <c r="C205" s="12">
        <v>103.67781666666667</v>
      </c>
      <c r="D205" s="12">
        <v>1.2613000000000001</v>
      </c>
      <c r="E205" s="133" t="s">
        <v>950</v>
      </c>
      <c r="F205" s="162">
        <v>4</v>
      </c>
    </row>
    <row r="206" spans="1:6" x14ac:dyDescent="0.25">
      <c r="A206" s="99">
        <f t="shared" si="3"/>
        <v>205</v>
      </c>
      <c r="B206" s="5" t="s">
        <v>226</v>
      </c>
      <c r="C206" s="12">
        <v>103.67928333333333</v>
      </c>
      <c r="D206" s="12">
        <v>1.2627833333333334</v>
      </c>
      <c r="E206" s="133" t="s">
        <v>950</v>
      </c>
      <c r="F206" s="162">
        <v>4</v>
      </c>
    </row>
    <row r="207" spans="1:6" x14ac:dyDescent="0.25">
      <c r="A207" s="99">
        <f t="shared" si="3"/>
        <v>206</v>
      </c>
      <c r="B207" s="5" t="s">
        <v>228</v>
      </c>
      <c r="C207" s="12">
        <f>(C12+C20)/2</f>
        <v>103.68370833333333</v>
      </c>
      <c r="D207" s="12">
        <f>(D12+D20)/2</f>
        <v>1.2607666666666666</v>
      </c>
      <c r="E207" s="133" t="s">
        <v>953</v>
      </c>
      <c r="F207" s="162">
        <v>4</v>
      </c>
    </row>
    <row r="208" spans="1:6" x14ac:dyDescent="0.25">
      <c r="A208" s="99">
        <f t="shared" si="3"/>
        <v>207</v>
      </c>
      <c r="B208" s="5" t="s">
        <v>227</v>
      </c>
      <c r="C208" s="12">
        <v>103.68433333333333</v>
      </c>
      <c r="D208" s="12">
        <v>1.2588666666666666</v>
      </c>
      <c r="E208" s="149" t="s">
        <v>978</v>
      </c>
      <c r="F208" s="163">
        <v>0</v>
      </c>
    </row>
    <row r="209" spans="1:6" x14ac:dyDescent="0.25">
      <c r="A209" s="99">
        <f t="shared" si="3"/>
        <v>208</v>
      </c>
      <c r="B209" s="5" t="s">
        <v>50</v>
      </c>
      <c r="C209" s="12">
        <v>103.66601666666666</v>
      </c>
      <c r="D209" s="12">
        <v>1.2667666666666666</v>
      </c>
      <c r="E209" s="135" t="s">
        <v>980</v>
      </c>
      <c r="F209" s="157">
        <v>-1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10"/>
  <sheetViews>
    <sheetView topLeftCell="A186" workbookViewId="0">
      <selection activeCell="D231" sqref="D231"/>
    </sheetView>
  </sheetViews>
  <sheetFormatPr defaultRowHeight="15" x14ac:dyDescent="0.25"/>
  <cols>
    <col min="1" max="2" width="9.140625" style="2"/>
    <col min="4" max="7" width="9.140625" style="2"/>
    <col min="8" max="8" width="9.140625" style="95"/>
    <col min="9" max="9" width="16.42578125" style="2" customWidth="1"/>
  </cols>
  <sheetData>
    <row r="1" spans="1:9" x14ac:dyDescent="0.25">
      <c r="A1" s="11" t="s">
        <v>0</v>
      </c>
      <c r="B1" s="154"/>
      <c r="D1" s="11" t="s">
        <v>22</v>
      </c>
      <c r="E1" s="11" t="s">
        <v>23</v>
      </c>
      <c r="F1" s="11" t="s">
        <v>27</v>
      </c>
      <c r="G1" s="11" t="s">
        <v>28</v>
      </c>
      <c r="H1" s="11" t="s">
        <v>29</v>
      </c>
      <c r="I1" s="11" t="s">
        <v>21</v>
      </c>
    </row>
    <row r="2" spans="1:9" x14ac:dyDescent="0.25">
      <c r="A2" s="3">
        <v>1</v>
      </c>
      <c r="B2" s="155">
        <v>0</v>
      </c>
      <c r="C2">
        <v>0</v>
      </c>
      <c r="D2" s="4">
        <v>712.13610000000006</v>
      </c>
      <c r="E2" s="4">
        <v>234.06780000000001</v>
      </c>
      <c r="F2" s="4">
        <v>1</v>
      </c>
      <c r="G2" s="4">
        <v>0</v>
      </c>
      <c r="H2" s="130">
        <v>230</v>
      </c>
      <c r="I2" s="4">
        <v>1</v>
      </c>
    </row>
    <row r="3" spans="1:9" x14ac:dyDescent="0.25">
      <c r="A3" s="72">
        <f>A2+1</f>
        <v>2</v>
      </c>
      <c r="B3" s="155">
        <v>0</v>
      </c>
      <c r="C3">
        <v>0</v>
      </c>
      <c r="D3" s="73">
        <v>0</v>
      </c>
      <c r="E3" s="73">
        <v>0</v>
      </c>
      <c r="F3" s="73">
        <v>1</v>
      </c>
      <c r="G3" s="73">
        <v>0</v>
      </c>
      <c r="H3" s="115">
        <v>230</v>
      </c>
      <c r="I3" s="73">
        <v>2</v>
      </c>
    </row>
    <row r="4" spans="1:9" x14ac:dyDescent="0.25">
      <c r="A4" s="80">
        <f t="shared" ref="A4:A67" si="0">A3+1</f>
        <v>3</v>
      </c>
      <c r="B4" s="155">
        <v>0</v>
      </c>
      <c r="C4">
        <v>0</v>
      </c>
      <c r="D4" s="5">
        <v>0</v>
      </c>
      <c r="E4" s="5">
        <v>0</v>
      </c>
      <c r="F4" s="5">
        <v>1</v>
      </c>
      <c r="G4" s="5">
        <v>0</v>
      </c>
      <c r="H4" s="128">
        <v>230</v>
      </c>
      <c r="I4" s="73">
        <v>2</v>
      </c>
    </row>
    <row r="5" spans="1:9" x14ac:dyDescent="0.25">
      <c r="A5" s="76">
        <f t="shared" si="0"/>
        <v>4</v>
      </c>
      <c r="B5" s="155">
        <v>0</v>
      </c>
      <c r="C5">
        <v>0</v>
      </c>
      <c r="D5" s="77">
        <v>0</v>
      </c>
      <c r="E5" s="77">
        <v>0</v>
      </c>
      <c r="F5" s="77">
        <v>1</v>
      </c>
      <c r="G5" s="77">
        <v>0</v>
      </c>
      <c r="H5" s="129">
        <v>230</v>
      </c>
      <c r="I5" s="73">
        <v>2</v>
      </c>
    </row>
    <row r="6" spans="1:9" x14ac:dyDescent="0.25">
      <c r="A6" s="70">
        <f t="shared" si="0"/>
        <v>5</v>
      </c>
      <c r="B6" s="155">
        <v>0</v>
      </c>
      <c r="C6">
        <v>0</v>
      </c>
      <c r="D6" s="14">
        <v>0</v>
      </c>
      <c r="E6" s="14">
        <v>0</v>
      </c>
      <c r="F6" s="14">
        <v>1</v>
      </c>
      <c r="G6" s="14">
        <v>0</v>
      </c>
      <c r="H6" s="50">
        <v>230</v>
      </c>
      <c r="I6" s="73">
        <v>2</v>
      </c>
    </row>
    <row r="7" spans="1:9" x14ac:dyDescent="0.25">
      <c r="A7" s="99">
        <f t="shared" si="0"/>
        <v>6</v>
      </c>
      <c r="B7" s="155">
        <v>0</v>
      </c>
      <c r="C7">
        <v>0</v>
      </c>
      <c r="D7" s="7">
        <v>0</v>
      </c>
      <c r="E7" s="7">
        <v>0</v>
      </c>
      <c r="F7" s="7">
        <v>1</v>
      </c>
      <c r="G7" s="7">
        <v>0</v>
      </c>
      <c r="H7" s="131">
        <v>230</v>
      </c>
      <c r="I7" s="73">
        <v>2</v>
      </c>
    </row>
    <row r="8" spans="1:9" x14ac:dyDescent="0.25">
      <c r="A8" s="99">
        <f t="shared" si="0"/>
        <v>7</v>
      </c>
      <c r="B8" s="155">
        <v>0</v>
      </c>
      <c r="C8">
        <v>0</v>
      </c>
      <c r="D8" s="7">
        <v>0</v>
      </c>
      <c r="E8" s="7">
        <v>0</v>
      </c>
      <c r="F8" s="7">
        <v>1</v>
      </c>
      <c r="G8" s="7">
        <v>0</v>
      </c>
      <c r="H8" s="131">
        <v>230</v>
      </c>
      <c r="I8" s="73">
        <v>2</v>
      </c>
    </row>
    <row r="9" spans="1:9" x14ac:dyDescent="0.25">
      <c r="A9" s="99">
        <f t="shared" si="0"/>
        <v>8</v>
      </c>
      <c r="B9" s="155">
        <v>0</v>
      </c>
      <c r="C9">
        <v>0</v>
      </c>
      <c r="D9" s="7">
        <v>0</v>
      </c>
      <c r="E9" s="7">
        <v>0</v>
      </c>
      <c r="F9" s="7">
        <v>1</v>
      </c>
      <c r="G9" s="7">
        <v>0</v>
      </c>
      <c r="H9" s="131">
        <v>230</v>
      </c>
      <c r="I9" s="73">
        <v>2</v>
      </c>
    </row>
    <row r="10" spans="1:9" x14ac:dyDescent="0.25">
      <c r="A10" s="99">
        <f t="shared" si="0"/>
        <v>9</v>
      </c>
      <c r="B10" s="155">
        <v>0</v>
      </c>
      <c r="C10">
        <v>0</v>
      </c>
      <c r="D10" s="8">
        <v>0</v>
      </c>
      <c r="E10" s="8">
        <v>0</v>
      </c>
      <c r="F10" s="8">
        <v>1</v>
      </c>
      <c r="G10" s="8">
        <v>0</v>
      </c>
      <c r="H10" s="104">
        <v>66</v>
      </c>
      <c r="I10" s="73">
        <v>2</v>
      </c>
    </row>
    <row r="11" spans="1:9" x14ac:dyDescent="0.25">
      <c r="A11" s="99">
        <f t="shared" si="0"/>
        <v>10</v>
      </c>
      <c r="B11" s="155">
        <v>0</v>
      </c>
      <c r="C11">
        <v>0</v>
      </c>
      <c r="D11" s="8">
        <v>0</v>
      </c>
      <c r="E11" s="8">
        <v>0</v>
      </c>
      <c r="F11" s="8">
        <v>1</v>
      </c>
      <c r="G11" s="8">
        <v>0</v>
      </c>
      <c r="H11" s="104">
        <v>66</v>
      </c>
      <c r="I11" s="73">
        <v>2</v>
      </c>
    </row>
    <row r="12" spans="1:9" x14ac:dyDescent="0.25">
      <c r="A12" s="99">
        <f t="shared" si="0"/>
        <v>11</v>
      </c>
      <c r="B12" s="155">
        <v>0</v>
      </c>
      <c r="C12">
        <v>0</v>
      </c>
      <c r="D12" s="8">
        <v>0</v>
      </c>
      <c r="E12" s="8">
        <v>0</v>
      </c>
      <c r="F12" s="8">
        <v>1</v>
      </c>
      <c r="G12" s="8">
        <v>0</v>
      </c>
      <c r="H12" s="104">
        <v>66</v>
      </c>
      <c r="I12" s="73">
        <v>2</v>
      </c>
    </row>
    <row r="13" spans="1:9" x14ac:dyDescent="0.25">
      <c r="A13" s="99">
        <f t="shared" si="0"/>
        <v>12</v>
      </c>
      <c r="B13" s="155">
        <v>0</v>
      </c>
      <c r="C13">
        <v>0</v>
      </c>
      <c r="D13" s="8">
        <v>0</v>
      </c>
      <c r="E13" s="8">
        <v>0</v>
      </c>
      <c r="F13" s="8">
        <v>1</v>
      </c>
      <c r="G13" s="8">
        <v>0</v>
      </c>
      <c r="H13" s="104">
        <v>66</v>
      </c>
      <c r="I13" s="73">
        <v>2</v>
      </c>
    </row>
    <row r="14" spans="1:9" x14ac:dyDescent="0.25">
      <c r="A14" s="99">
        <f t="shared" si="0"/>
        <v>13</v>
      </c>
      <c r="B14" s="155">
        <v>0</v>
      </c>
      <c r="C14">
        <v>0</v>
      </c>
      <c r="D14" s="8">
        <v>0</v>
      </c>
      <c r="E14" s="8">
        <v>0</v>
      </c>
      <c r="F14" s="8">
        <v>1</v>
      </c>
      <c r="G14" s="8">
        <v>0</v>
      </c>
      <c r="H14" s="104">
        <v>66</v>
      </c>
      <c r="I14" s="73">
        <v>2</v>
      </c>
    </row>
    <row r="15" spans="1:9" x14ac:dyDescent="0.25">
      <c r="A15" s="99">
        <f t="shared" si="0"/>
        <v>14</v>
      </c>
      <c r="B15" s="155">
        <v>0</v>
      </c>
      <c r="C15">
        <v>0</v>
      </c>
      <c r="D15" s="8">
        <v>0</v>
      </c>
      <c r="E15" s="8">
        <v>0</v>
      </c>
      <c r="F15" s="8">
        <v>1</v>
      </c>
      <c r="G15" s="8">
        <v>0</v>
      </c>
      <c r="H15" s="104">
        <v>66</v>
      </c>
      <c r="I15" s="73">
        <v>2</v>
      </c>
    </row>
    <row r="16" spans="1:9" x14ac:dyDescent="0.25">
      <c r="A16" s="99">
        <f t="shared" si="0"/>
        <v>15</v>
      </c>
      <c r="B16" s="155">
        <v>0</v>
      </c>
      <c r="C16">
        <v>0</v>
      </c>
      <c r="D16" s="8">
        <v>0</v>
      </c>
      <c r="E16" s="8">
        <v>0</v>
      </c>
      <c r="F16" s="8">
        <v>1</v>
      </c>
      <c r="G16" s="8">
        <v>0</v>
      </c>
      <c r="H16" s="104">
        <v>66</v>
      </c>
      <c r="I16" s="73">
        <v>2</v>
      </c>
    </row>
    <row r="17" spans="1:9" x14ac:dyDescent="0.25">
      <c r="A17" s="99">
        <f t="shared" si="0"/>
        <v>16</v>
      </c>
      <c r="B17" s="155">
        <v>0</v>
      </c>
      <c r="C17">
        <v>0</v>
      </c>
      <c r="D17" s="8">
        <v>0</v>
      </c>
      <c r="E17" s="8">
        <v>0</v>
      </c>
      <c r="F17" s="8">
        <v>1</v>
      </c>
      <c r="G17" s="8">
        <v>0</v>
      </c>
      <c r="H17" s="104">
        <v>66</v>
      </c>
      <c r="I17" s="73">
        <v>2</v>
      </c>
    </row>
    <row r="18" spans="1:9" x14ac:dyDescent="0.25">
      <c r="A18" s="99">
        <f t="shared" si="0"/>
        <v>17</v>
      </c>
      <c r="B18" s="155">
        <v>0</v>
      </c>
      <c r="C18">
        <v>0</v>
      </c>
      <c r="D18" s="8">
        <v>0</v>
      </c>
      <c r="E18" s="8">
        <v>0</v>
      </c>
      <c r="F18" s="8">
        <v>1</v>
      </c>
      <c r="G18" s="8">
        <v>0</v>
      </c>
      <c r="H18" s="104">
        <v>66</v>
      </c>
      <c r="I18" s="73">
        <v>2</v>
      </c>
    </row>
    <row r="19" spans="1:9" x14ac:dyDescent="0.25">
      <c r="A19" s="99">
        <f t="shared" si="0"/>
        <v>18</v>
      </c>
      <c r="B19" s="155">
        <v>0</v>
      </c>
      <c r="C19">
        <v>0</v>
      </c>
      <c r="D19" s="100">
        <v>0</v>
      </c>
      <c r="E19" s="100">
        <v>0</v>
      </c>
      <c r="F19" s="100">
        <v>1</v>
      </c>
      <c r="G19" s="100">
        <v>0</v>
      </c>
      <c r="H19" s="132">
        <v>66</v>
      </c>
      <c r="I19" s="73">
        <v>2</v>
      </c>
    </row>
    <row r="20" spans="1:9" x14ac:dyDescent="0.25">
      <c r="A20" s="99">
        <f t="shared" si="0"/>
        <v>19</v>
      </c>
      <c r="B20" s="155">
        <v>0</v>
      </c>
      <c r="C20">
        <v>0</v>
      </c>
      <c r="D20" s="8">
        <v>0</v>
      </c>
      <c r="E20" s="8">
        <v>0</v>
      </c>
      <c r="F20" s="8">
        <v>1</v>
      </c>
      <c r="G20" s="8">
        <v>0</v>
      </c>
      <c r="H20" s="104">
        <v>66</v>
      </c>
      <c r="I20" s="73">
        <v>2</v>
      </c>
    </row>
    <row r="21" spans="1:9" x14ac:dyDescent="0.25">
      <c r="A21" s="99">
        <f t="shared" si="0"/>
        <v>20</v>
      </c>
      <c r="B21" s="155">
        <v>0</v>
      </c>
      <c r="C21">
        <v>0</v>
      </c>
      <c r="D21" s="8">
        <v>0</v>
      </c>
      <c r="E21" s="8">
        <v>0</v>
      </c>
      <c r="F21" s="8">
        <v>1</v>
      </c>
      <c r="G21" s="8">
        <v>0</v>
      </c>
      <c r="H21" s="104">
        <v>66</v>
      </c>
      <c r="I21" s="73">
        <v>2</v>
      </c>
    </row>
    <row r="22" spans="1:9" x14ac:dyDescent="0.25">
      <c r="A22" s="99">
        <f t="shared" si="0"/>
        <v>21</v>
      </c>
      <c r="B22" s="155">
        <v>0</v>
      </c>
      <c r="C22">
        <v>0</v>
      </c>
      <c r="D22" s="8">
        <v>0</v>
      </c>
      <c r="E22" s="8">
        <v>0</v>
      </c>
      <c r="F22" s="8">
        <v>1</v>
      </c>
      <c r="G22" s="8">
        <v>0</v>
      </c>
      <c r="H22" s="6">
        <v>22</v>
      </c>
      <c r="I22" s="73">
        <v>2</v>
      </c>
    </row>
    <row r="23" spans="1:9" x14ac:dyDescent="0.25">
      <c r="A23" s="99">
        <f t="shared" si="0"/>
        <v>22</v>
      </c>
      <c r="B23" s="155">
        <v>0</v>
      </c>
      <c r="C23">
        <v>0</v>
      </c>
      <c r="D23" s="8">
        <v>0</v>
      </c>
      <c r="E23" s="8">
        <v>0</v>
      </c>
      <c r="F23" s="8">
        <v>1</v>
      </c>
      <c r="G23" s="8">
        <v>0</v>
      </c>
      <c r="H23" s="6">
        <v>22</v>
      </c>
      <c r="I23" s="73">
        <v>2</v>
      </c>
    </row>
    <row r="24" spans="1:9" x14ac:dyDescent="0.25">
      <c r="A24" s="99">
        <f t="shared" si="0"/>
        <v>23</v>
      </c>
      <c r="B24" s="155">
        <v>0</v>
      </c>
      <c r="C24">
        <v>0</v>
      </c>
      <c r="D24" s="8">
        <v>0</v>
      </c>
      <c r="E24" s="8">
        <v>0</v>
      </c>
      <c r="F24" s="8">
        <v>1</v>
      </c>
      <c r="G24" s="8">
        <v>0</v>
      </c>
      <c r="H24" s="6">
        <v>22</v>
      </c>
      <c r="I24" s="73">
        <v>2</v>
      </c>
    </row>
    <row r="25" spans="1:9" x14ac:dyDescent="0.25">
      <c r="A25" s="99">
        <f t="shared" si="0"/>
        <v>24</v>
      </c>
      <c r="B25" s="155">
        <v>0</v>
      </c>
      <c r="C25">
        <v>0</v>
      </c>
      <c r="D25" s="8">
        <v>0</v>
      </c>
      <c r="E25" s="8">
        <v>0</v>
      </c>
      <c r="F25" s="8">
        <v>1</v>
      </c>
      <c r="G25" s="8">
        <v>0</v>
      </c>
      <c r="H25" s="6">
        <v>22</v>
      </c>
      <c r="I25" s="73">
        <v>2</v>
      </c>
    </row>
    <row r="26" spans="1:9" x14ac:dyDescent="0.25">
      <c r="A26" s="99">
        <f t="shared" si="0"/>
        <v>25</v>
      </c>
      <c r="B26" s="155">
        <v>0</v>
      </c>
      <c r="C26">
        <v>0</v>
      </c>
      <c r="D26" s="8">
        <v>0</v>
      </c>
      <c r="E26" s="8">
        <v>0</v>
      </c>
      <c r="F26" s="8">
        <v>1</v>
      </c>
      <c r="G26" s="8">
        <v>0</v>
      </c>
      <c r="H26" s="6">
        <v>22</v>
      </c>
      <c r="I26" s="73">
        <v>2</v>
      </c>
    </row>
    <row r="27" spans="1:9" x14ac:dyDescent="0.25">
      <c r="A27" s="99">
        <f t="shared" si="0"/>
        <v>26</v>
      </c>
      <c r="B27" s="155">
        <v>0</v>
      </c>
      <c r="C27">
        <v>0</v>
      </c>
      <c r="D27" s="8">
        <v>0</v>
      </c>
      <c r="E27" s="8">
        <v>0</v>
      </c>
      <c r="F27" s="8">
        <v>1</v>
      </c>
      <c r="G27" s="8">
        <v>0</v>
      </c>
      <c r="H27" s="6">
        <v>22</v>
      </c>
      <c r="I27" s="73">
        <v>2</v>
      </c>
    </row>
    <row r="28" spans="1:9" x14ac:dyDescent="0.25">
      <c r="A28" s="99">
        <f t="shared" si="0"/>
        <v>27</v>
      </c>
      <c r="B28" s="155">
        <v>0</v>
      </c>
      <c r="C28">
        <v>0</v>
      </c>
      <c r="D28" s="100">
        <v>0</v>
      </c>
      <c r="E28" s="100">
        <v>0</v>
      </c>
      <c r="F28" s="100">
        <v>1</v>
      </c>
      <c r="G28" s="100">
        <v>0</v>
      </c>
      <c r="H28" s="99">
        <v>22</v>
      </c>
      <c r="I28" s="73">
        <v>2</v>
      </c>
    </row>
    <row r="29" spans="1:9" x14ac:dyDescent="0.25">
      <c r="A29" s="99">
        <f t="shared" si="0"/>
        <v>28</v>
      </c>
      <c r="B29" s="155">
        <v>0</v>
      </c>
      <c r="C29">
        <v>0</v>
      </c>
      <c r="D29" s="8">
        <v>0</v>
      </c>
      <c r="E29" s="8">
        <v>0</v>
      </c>
      <c r="F29" s="8">
        <v>1</v>
      </c>
      <c r="G29" s="8">
        <v>0</v>
      </c>
      <c r="H29" s="6">
        <v>22</v>
      </c>
      <c r="I29" s="73">
        <v>2</v>
      </c>
    </row>
    <row r="30" spans="1:9" x14ac:dyDescent="0.25">
      <c r="A30" s="99">
        <f t="shared" si="0"/>
        <v>29</v>
      </c>
      <c r="B30" s="155">
        <v>0</v>
      </c>
      <c r="C30">
        <v>0</v>
      </c>
      <c r="D30" s="8">
        <v>0</v>
      </c>
      <c r="E30" s="8">
        <v>0</v>
      </c>
      <c r="F30" s="8">
        <v>1</v>
      </c>
      <c r="G30" s="8">
        <v>0</v>
      </c>
      <c r="H30" s="6">
        <v>22</v>
      </c>
      <c r="I30" s="73">
        <v>2</v>
      </c>
    </row>
    <row r="31" spans="1:9" x14ac:dyDescent="0.25">
      <c r="A31" s="99">
        <f t="shared" si="0"/>
        <v>30</v>
      </c>
      <c r="B31" s="155">
        <v>0</v>
      </c>
      <c r="C31">
        <v>0</v>
      </c>
      <c r="D31" s="8">
        <v>12.9727</v>
      </c>
      <c r="E31" s="8">
        <v>6.3334999999999999</v>
      </c>
      <c r="F31" s="8">
        <v>1</v>
      </c>
      <c r="G31" s="8">
        <v>0</v>
      </c>
      <c r="H31" s="6">
        <v>22</v>
      </c>
      <c r="I31" s="73">
        <v>2</v>
      </c>
    </row>
    <row r="32" spans="1:9" x14ac:dyDescent="0.25">
      <c r="A32" s="99">
        <f t="shared" si="0"/>
        <v>31</v>
      </c>
      <c r="B32" s="155">
        <v>0</v>
      </c>
      <c r="C32">
        <v>0</v>
      </c>
      <c r="D32" s="8">
        <v>0.82699999999999996</v>
      </c>
      <c r="E32" s="8">
        <v>0.40489999999999998</v>
      </c>
      <c r="F32" s="8">
        <v>1</v>
      </c>
      <c r="G32" s="8">
        <v>0</v>
      </c>
      <c r="H32" s="6">
        <v>22</v>
      </c>
      <c r="I32" s="73">
        <v>2</v>
      </c>
    </row>
    <row r="33" spans="1:9" x14ac:dyDescent="0.25">
      <c r="A33" s="99">
        <f t="shared" si="0"/>
        <v>32</v>
      </c>
      <c r="B33" s="155">
        <v>0</v>
      </c>
      <c r="C33">
        <v>0</v>
      </c>
      <c r="D33" s="8">
        <v>0</v>
      </c>
      <c r="E33" s="8">
        <v>0</v>
      </c>
      <c r="F33" s="8">
        <v>1</v>
      </c>
      <c r="G33" s="8">
        <v>0</v>
      </c>
      <c r="H33" s="6">
        <v>22</v>
      </c>
      <c r="I33" s="73">
        <v>2</v>
      </c>
    </row>
    <row r="34" spans="1:9" x14ac:dyDescent="0.25">
      <c r="A34" s="99">
        <f t="shared" si="0"/>
        <v>33</v>
      </c>
      <c r="B34" s="155">
        <v>0</v>
      </c>
      <c r="C34">
        <v>0</v>
      </c>
      <c r="D34" s="8">
        <v>2.4662000000000002</v>
      </c>
      <c r="E34" s="8">
        <v>1.3259000000000001</v>
      </c>
      <c r="F34" s="8">
        <v>1</v>
      </c>
      <c r="G34" s="8">
        <v>0</v>
      </c>
      <c r="H34" s="6">
        <v>22</v>
      </c>
      <c r="I34" s="73">
        <v>2</v>
      </c>
    </row>
    <row r="35" spans="1:9" x14ac:dyDescent="0.25">
      <c r="A35" s="99">
        <f t="shared" si="0"/>
        <v>34</v>
      </c>
      <c r="B35" s="155">
        <v>0</v>
      </c>
      <c r="C35">
        <v>0</v>
      </c>
      <c r="D35" s="8">
        <v>5.3780999999999999</v>
      </c>
      <c r="E35" s="8">
        <v>2.5918999999999999</v>
      </c>
      <c r="F35" s="8">
        <v>1</v>
      </c>
      <c r="G35" s="8">
        <v>0</v>
      </c>
      <c r="H35" s="6">
        <v>22</v>
      </c>
      <c r="I35" s="73">
        <v>2</v>
      </c>
    </row>
    <row r="36" spans="1:9" x14ac:dyDescent="0.25">
      <c r="A36" s="99">
        <f t="shared" si="0"/>
        <v>35</v>
      </c>
      <c r="B36" s="155">
        <v>0</v>
      </c>
      <c r="C36">
        <v>0</v>
      </c>
      <c r="D36" s="8">
        <v>10.3088</v>
      </c>
      <c r="E36" s="8">
        <v>6.0640000000000001</v>
      </c>
      <c r="F36" s="8">
        <v>1</v>
      </c>
      <c r="G36" s="8">
        <v>0</v>
      </c>
      <c r="H36" s="6">
        <v>22</v>
      </c>
      <c r="I36" s="73">
        <v>2</v>
      </c>
    </row>
    <row r="37" spans="1:9" x14ac:dyDescent="0.25">
      <c r="A37" s="99">
        <f t="shared" si="0"/>
        <v>36</v>
      </c>
      <c r="B37" s="155">
        <v>0</v>
      </c>
      <c r="C37">
        <v>0</v>
      </c>
      <c r="D37" s="8">
        <v>0</v>
      </c>
      <c r="E37" s="8">
        <v>0</v>
      </c>
      <c r="F37" s="8">
        <v>1</v>
      </c>
      <c r="G37" s="8">
        <v>0</v>
      </c>
      <c r="H37" s="6">
        <v>22</v>
      </c>
      <c r="I37" s="73">
        <v>2</v>
      </c>
    </row>
    <row r="38" spans="1:9" x14ac:dyDescent="0.25">
      <c r="A38" s="99">
        <f t="shared" si="0"/>
        <v>37</v>
      </c>
      <c r="B38" s="155">
        <v>0</v>
      </c>
      <c r="C38">
        <v>0</v>
      </c>
      <c r="D38" s="8">
        <v>1.1402000000000001</v>
      </c>
      <c r="E38" s="8">
        <v>0.78639999999999999</v>
      </c>
      <c r="F38" s="8">
        <v>1</v>
      </c>
      <c r="G38" s="8">
        <v>0</v>
      </c>
      <c r="H38" s="6">
        <v>22</v>
      </c>
      <c r="I38" s="73">
        <v>2</v>
      </c>
    </row>
    <row r="39" spans="1:9" x14ac:dyDescent="0.25">
      <c r="A39" s="99">
        <f t="shared" si="0"/>
        <v>38</v>
      </c>
      <c r="B39" s="155">
        <v>0</v>
      </c>
      <c r="C39">
        <v>0</v>
      </c>
      <c r="D39" s="8">
        <v>4.7294</v>
      </c>
      <c r="E39" s="8">
        <v>2.4171</v>
      </c>
      <c r="F39" s="8">
        <v>1</v>
      </c>
      <c r="G39" s="8">
        <v>0</v>
      </c>
      <c r="H39" s="6">
        <v>22</v>
      </c>
      <c r="I39" s="73">
        <v>2</v>
      </c>
    </row>
    <row r="40" spans="1:9" x14ac:dyDescent="0.25">
      <c r="A40" s="99">
        <f t="shared" si="0"/>
        <v>39</v>
      </c>
      <c r="B40" s="155">
        <v>0</v>
      </c>
      <c r="C40">
        <v>0</v>
      </c>
      <c r="D40" s="8">
        <v>0.54679999999999995</v>
      </c>
      <c r="E40" s="8">
        <v>0.31609999999999999</v>
      </c>
      <c r="F40" s="8">
        <v>1</v>
      </c>
      <c r="G40" s="8">
        <v>0</v>
      </c>
      <c r="H40" s="6">
        <v>22</v>
      </c>
      <c r="I40" s="73">
        <v>2</v>
      </c>
    </row>
    <row r="41" spans="1:9" x14ac:dyDescent="0.25">
      <c r="A41" s="99">
        <f t="shared" si="0"/>
        <v>40</v>
      </c>
      <c r="B41" s="155">
        <v>0</v>
      </c>
      <c r="C41">
        <v>0</v>
      </c>
      <c r="D41" s="8">
        <v>2.8469000000000002</v>
      </c>
      <c r="E41" s="8">
        <v>1.2801</v>
      </c>
      <c r="F41" s="8">
        <v>1</v>
      </c>
      <c r="G41" s="8">
        <v>0</v>
      </c>
      <c r="H41" s="6">
        <v>22</v>
      </c>
      <c r="I41" s="73">
        <v>2</v>
      </c>
    </row>
    <row r="42" spans="1:9" x14ac:dyDescent="0.25">
      <c r="A42" s="99">
        <f t="shared" si="0"/>
        <v>41</v>
      </c>
      <c r="B42" s="155">
        <v>0</v>
      </c>
      <c r="C42">
        <v>0</v>
      </c>
      <c r="D42" s="8">
        <v>1.6082000000000001</v>
      </c>
      <c r="E42" s="8">
        <v>0.77890000000000004</v>
      </c>
      <c r="F42" s="8">
        <v>1</v>
      </c>
      <c r="G42" s="8">
        <v>0</v>
      </c>
      <c r="H42" s="6">
        <v>22</v>
      </c>
      <c r="I42" s="73">
        <v>2</v>
      </c>
    </row>
    <row r="43" spans="1:9" x14ac:dyDescent="0.25">
      <c r="A43" s="99">
        <f t="shared" si="0"/>
        <v>42</v>
      </c>
      <c r="B43" s="155">
        <v>0</v>
      </c>
      <c r="C43">
        <v>0</v>
      </c>
      <c r="D43" s="8">
        <v>0</v>
      </c>
      <c r="E43" s="8">
        <v>0</v>
      </c>
      <c r="F43" s="8">
        <v>1</v>
      </c>
      <c r="G43" s="8">
        <v>0</v>
      </c>
      <c r="H43" s="6">
        <v>22</v>
      </c>
      <c r="I43" s="73">
        <v>2</v>
      </c>
    </row>
    <row r="44" spans="1:9" x14ac:dyDescent="0.25">
      <c r="A44" s="99">
        <f t="shared" si="0"/>
        <v>43</v>
      </c>
      <c r="B44" s="155">
        <v>0</v>
      </c>
      <c r="C44">
        <v>0</v>
      </c>
      <c r="D44" s="8">
        <v>2.1945999999999999</v>
      </c>
      <c r="E44" s="8">
        <v>1.3601000000000001</v>
      </c>
      <c r="F44" s="8">
        <v>1</v>
      </c>
      <c r="G44" s="8">
        <v>0</v>
      </c>
      <c r="H44" s="6">
        <v>22</v>
      </c>
      <c r="I44" s="73">
        <v>2</v>
      </c>
    </row>
    <row r="45" spans="1:9" x14ac:dyDescent="0.25">
      <c r="A45" s="99">
        <f t="shared" si="0"/>
        <v>44</v>
      </c>
      <c r="B45" s="155">
        <v>0</v>
      </c>
      <c r="C45">
        <v>0</v>
      </c>
      <c r="D45" s="8">
        <v>1.6541999999999999</v>
      </c>
      <c r="E45" s="8">
        <v>0.91900000000000004</v>
      </c>
      <c r="F45" s="8">
        <v>1</v>
      </c>
      <c r="G45" s="8">
        <v>0</v>
      </c>
      <c r="H45" s="105">
        <v>230</v>
      </c>
      <c r="I45" s="73">
        <v>2</v>
      </c>
    </row>
    <row r="46" spans="1:9" x14ac:dyDescent="0.25">
      <c r="A46" s="99">
        <f t="shared" si="0"/>
        <v>45</v>
      </c>
      <c r="B46" s="155">
        <v>0</v>
      </c>
      <c r="C46">
        <v>0</v>
      </c>
      <c r="D46" s="8">
        <v>175.21360000000001</v>
      </c>
      <c r="E46" s="8">
        <v>81.318200000000004</v>
      </c>
      <c r="F46" s="8">
        <v>1</v>
      </c>
      <c r="G46" s="8">
        <v>0</v>
      </c>
      <c r="H46" s="105">
        <v>230</v>
      </c>
      <c r="I46" s="73">
        <v>2</v>
      </c>
    </row>
    <row r="47" spans="1:9" x14ac:dyDescent="0.25">
      <c r="A47" s="99">
        <f t="shared" si="0"/>
        <v>46</v>
      </c>
      <c r="B47" s="155">
        <v>0</v>
      </c>
      <c r="C47">
        <v>0</v>
      </c>
      <c r="D47" s="8">
        <v>3.2147999999999999</v>
      </c>
      <c r="E47" s="8">
        <v>1.6021000000000001</v>
      </c>
      <c r="F47" s="8">
        <v>1</v>
      </c>
      <c r="G47" s="8">
        <v>0</v>
      </c>
      <c r="H47" s="6">
        <v>22</v>
      </c>
      <c r="I47" s="73">
        <v>2</v>
      </c>
    </row>
    <row r="48" spans="1:9" x14ac:dyDescent="0.25">
      <c r="A48" s="99">
        <f t="shared" si="0"/>
        <v>47</v>
      </c>
      <c r="B48" s="155">
        <v>0</v>
      </c>
      <c r="C48">
        <v>0</v>
      </c>
      <c r="D48" s="8">
        <v>0</v>
      </c>
      <c r="E48" s="8">
        <v>0</v>
      </c>
      <c r="F48" s="8">
        <v>1</v>
      </c>
      <c r="G48" s="8">
        <v>0</v>
      </c>
      <c r="H48" s="6">
        <v>22</v>
      </c>
      <c r="I48" s="73">
        <v>2</v>
      </c>
    </row>
    <row r="49" spans="1:9" x14ac:dyDescent="0.25">
      <c r="A49" s="99">
        <f t="shared" si="0"/>
        <v>48</v>
      </c>
      <c r="B49" s="155">
        <v>0</v>
      </c>
      <c r="C49">
        <v>0</v>
      </c>
      <c r="D49" s="8">
        <v>2.4746000000000001</v>
      </c>
      <c r="E49" s="8">
        <v>1.2317</v>
      </c>
      <c r="F49" s="8">
        <v>1</v>
      </c>
      <c r="G49" s="8">
        <v>0</v>
      </c>
      <c r="H49" s="6">
        <v>22</v>
      </c>
      <c r="I49" s="73">
        <v>2</v>
      </c>
    </row>
    <row r="50" spans="1:9" x14ac:dyDescent="0.25">
      <c r="A50" s="99">
        <f t="shared" si="0"/>
        <v>49</v>
      </c>
      <c r="B50" s="155">
        <v>0</v>
      </c>
      <c r="C50">
        <v>0</v>
      </c>
      <c r="D50" s="8">
        <v>0</v>
      </c>
      <c r="E50" s="8">
        <v>0</v>
      </c>
      <c r="F50" s="8">
        <v>1</v>
      </c>
      <c r="G50" s="8">
        <v>0</v>
      </c>
      <c r="H50" s="6">
        <v>22</v>
      </c>
      <c r="I50" s="73">
        <v>2</v>
      </c>
    </row>
    <row r="51" spans="1:9" x14ac:dyDescent="0.25">
      <c r="A51" s="99">
        <f t="shared" si="0"/>
        <v>50</v>
      </c>
      <c r="B51" s="155">
        <v>0</v>
      </c>
      <c r="C51">
        <v>0</v>
      </c>
      <c r="D51" s="8">
        <v>0</v>
      </c>
      <c r="E51" s="8">
        <v>0</v>
      </c>
      <c r="F51" s="8">
        <v>1</v>
      </c>
      <c r="G51" s="8">
        <v>0</v>
      </c>
      <c r="H51" s="6">
        <v>22</v>
      </c>
      <c r="I51" s="73">
        <v>2</v>
      </c>
    </row>
    <row r="52" spans="1:9" x14ac:dyDescent="0.25">
      <c r="A52" s="99">
        <f t="shared" si="0"/>
        <v>51</v>
      </c>
      <c r="B52" s="155">
        <v>0</v>
      </c>
      <c r="C52">
        <v>0</v>
      </c>
      <c r="D52" s="8">
        <v>7.9489999999999998</v>
      </c>
      <c r="E52" s="8">
        <v>3.1415999999999999</v>
      </c>
      <c r="F52" s="8">
        <v>1</v>
      </c>
      <c r="G52" s="8">
        <v>0</v>
      </c>
      <c r="H52" s="6">
        <v>22</v>
      </c>
      <c r="I52" s="73">
        <v>2</v>
      </c>
    </row>
    <row r="53" spans="1:9" x14ac:dyDescent="0.25">
      <c r="A53" s="99">
        <f t="shared" si="0"/>
        <v>52</v>
      </c>
      <c r="B53" s="155">
        <v>0</v>
      </c>
      <c r="C53">
        <v>0</v>
      </c>
      <c r="D53" s="8">
        <v>3.8197999999999999</v>
      </c>
      <c r="E53" s="8">
        <v>1.8819999999999999</v>
      </c>
      <c r="F53" s="8">
        <v>1</v>
      </c>
      <c r="G53" s="8">
        <v>0</v>
      </c>
      <c r="H53" s="6">
        <v>22</v>
      </c>
      <c r="I53" s="73">
        <v>2</v>
      </c>
    </row>
    <row r="54" spans="1:9" x14ac:dyDescent="0.25">
      <c r="A54" s="99">
        <f t="shared" si="0"/>
        <v>53</v>
      </c>
      <c r="B54" s="155">
        <v>0</v>
      </c>
      <c r="C54">
        <v>0</v>
      </c>
      <c r="D54" s="8">
        <v>2.5659000000000001</v>
      </c>
      <c r="E54" s="8">
        <v>1.2446999999999999</v>
      </c>
      <c r="F54" s="8">
        <v>1</v>
      </c>
      <c r="G54" s="8">
        <v>0</v>
      </c>
      <c r="H54" s="6">
        <v>22</v>
      </c>
      <c r="I54" s="73">
        <v>2</v>
      </c>
    </row>
    <row r="55" spans="1:9" x14ac:dyDescent="0.25">
      <c r="A55" s="99">
        <f t="shared" si="0"/>
        <v>54</v>
      </c>
      <c r="B55" s="155">
        <v>0</v>
      </c>
      <c r="C55">
        <v>0</v>
      </c>
      <c r="D55" s="8">
        <v>0</v>
      </c>
      <c r="E55" s="8">
        <v>0</v>
      </c>
      <c r="F55" s="8">
        <v>1</v>
      </c>
      <c r="G55" s="8">
        <v>0</v>
      </c>
      <c r="H55" s="6">
        <v>22</v>
      </c>
      <c r="I55" s="73">
        <v>2</v>
      </c>
    </row>
    <row r="56" spans="1:9" x14ac:dyDescent="0.25">
      <c r="A56" s="99">
        <f t="shared" si="0"/>
        <v>55</v>
      </c>
      <c r="B56" s="155">
        <v>0</v>
      </c>
      <c r="C56">
        <v>0</v>
      </c>
      <c r="D56" s="8">
        <v>0</v>
      </c>
      <c r="E56" s="8">
        <v>0</v>
      </c>
      <c r="F56" s="8">
        <v>1</v>
      </c>
      <c r="G56" s="8">
        <v>0</v>
      </c>
      <c r="H56" s="6">
        <v>22</v>
      </c>
      <c r="I56" s="73">
        <v>2</v>
      </c>
    </row>
    <row r="57" spans="1:9" x14ac:dyDescent="0.25">
      <c r="A57" s="99">
        <f t="shared" si="0"/>
        <v>56</v>
      </c>
      <c r="B57" s="155">
        <v>0</v>
      </c>
      <c r="C57">
        <v>0</v>
      </c>
      <c r="D57" s="8">
        <v>2.5912000000000002</v>
      </c>
      <c r="E57" s="8">
        <v>1.2848999999999999</v>
      </c>
      <c r="F57" s="8">
        <v>1</v>
      </c>
      <c r="G57" s="8">
        <v>0</v>
      </c>
      <c r="H57" s="6">
        <v>22</v>
      </c>
      <c r="I57" s="73">
        <v>2</v>
      </c>
    </row>
    <row r="58" spans="1:9" x14ac:dyDescent="0.25">
      <c r="A58" s="99">
        <f t="shared" si="0"/>
        <v>57</v>
      </c>
      <c r="B58" s="155">
        <v>0</v>
      </c>
      <c r="C58">
        <v>0</v>
      </c>
      <c r="D58" s="8">
        <v>0</v>
      </c>
      <c r="E58" s="8">
        <v>0</v>
      </c>
      <c r="F58" s="8">
        <v>1</v>
      </c>
      <c r="G58" s="8">
        <v>0</v>
      </c>
      <c r="H58" s="6">
        <v>22</v>
      </c>
      <c r="I58" s="73">
        <v>2</v>
      </c>
    </row>
    <row r="59" spans="1:9" x14ac:dyDescent="0.25">
      <c r="A59" s="99">
        <f t="shared" si="0"/>
        <v>58</v>
      </c>
      <c r="B59" s="155">
        <v>0</v>
      </c>
      <c r="C59">
        <v>0</v>
      </c>
      <c r="D59" s="8">
        <v>2.3159999999999998</v>
      </c>
      <c r="E59" s="8">
        <v>1.1503000000000001</v>
      </c>
      <c r="F59" s="8">
        <v>1</v>
      </c>
      <c r="G59" s="8">
        <v>0</v>
      </c>
      <c r="H59" s="6">
        <v>22</v>
      </c>
      <c r="I59" s="73">
        <v>2</v>
      </c>
    </row>
    <row r="60" spans="1:9" x14ac:dyDescent="0.25">
      <c r="A60" s="99">
        <f t="shared" si="0"/>
        <v>59</v>
      </c>
      <c r="B60" s="155">
        <v>0</v>
      </c>
      <c r="C60">
        <v>0</v>
      </c>
      <c r="D60" s="8">
        <v>27.551400000000001</v>
      </c>
      <c r="E60" s="8">
        <v>13.771599999999999</v>
      </c>
      <c r="F60" s="8">
        <v>1</v>
      </c>
      <c r="G60" s="8">
        <v>0</v>
      </c>
      <c r="H60" s="104">
        <v>66</v>
      </c>
      <c r="I60" s="73">
        <v>2</v>
      </c>
    </row>
    <row r="61" spans="1:9" x14ac:dyDescent="0.25">
      <c r="A61" s="99">
        <f t="shared" si="0"/>
        <v>60</v>
      </c>
      <c r="B61" s="155">
        <v>0</v>
      </c>
      <c r="C61">
        <v>0</v>
      </c>
      <c r="D61" s="8">
        <v>0</v>
      </c>
      <c r="E61" s="8">
        <v>0</v>
      </c>
      <c r="F61" s="8">
        <v>1</v>
      </c>
      <c r="G61" s="8">
        <v>0</v>
      </c>
      <c r="H61" s="6">
        <v>22</v>
      </c>
      <c r="I61" s="73">
        <v>2</v>
      </c>
    </row>
    <row r="62" spans="1:9" x14ac:dyDescent="0.25">
      <c r="A62" s="99">
        <f t="shared" si="0"/>
        <v>61</v>
      </c>
      <c r="B62" s="155">
        <v>0</v>
      </c>
      <c r="C62">
        <v>0</v>
      </c>
      <c r="D62" s="8">
        <v>0</v>
      </c>
      <c r="E62" s="8">
        <v>0</v>
      </c>
      <c r="F62" s="8">
        <v>1</v>
      </c>
      <c r="G62" s="8">
        <v>0</v>
      </c>
      <c r="H62" s="104">
        <v>66</v>
      </c>
      <c r="I62" s="73">
        <v>2</v>
      </c>
    </row>
    <row r="63" spans="1:9" x14ac:dyDescent="0.25">
      <c r="A63" s="99">
        <f t="shared" si="0"/>
        <v>62</v>
      </c>
      <c r="B63" s="155">
        <v>0</v>
      </c>
      <c r="C63">
        <v>0</v>
      </c>
      <c r="D63" s="8">
        <v>9.3435000000000006</v>
      </c>
      <c r="E63" s="8">
        <v>4.5094000000000003</v>
      </c>
      <c r="F63" s="8">
        <v>1</v>
      </c>
      <c r="G63" s="8">
        <v>0</v>
      </c>
      <c r="H63" s="104">
        <v>22</v>
      </c>
      <c r="I63" s="73">
        <v>2</v>
      </c>
    </row>
    <row r="64" spans="1:9" x14ac:dyDescent="0.25">
      <c r="A64" s="99">
        <f t="shared" si="0"/>
        <v>63</v>
      </c>
      <c r="B64" s="155">
        <v>0</v>
      </c>
      <c r="C64">
        <v>0</v>
      </c>
      <c r="D64" s="8">
        <v>25.924600000000002</v>
      </c>
      <c r="E64" s="8">
        <v>12.529</v>
      </c>
      <c r="F64" s="8">
        <v>1</v>
      </c>
      <c r="G64" s="8">
        <v>0</v>
      </c>
      <c r="H64" s="104">
        <v>66</v>
      </c>
      <c r="I64" s="73">
        <v>2</v>
      </c>
    </row>
    <row r="65" spans="1:9" x14ac:dyDescent="0.25">
      <c r="A65" s="99">
        <f t="shared" si="0"/>
        <v>64</v>
      </c>
      <c r="B65" s="155">
        <v>0</v>
      </c>
      <c r="C65">
        <v>0</v>
      </c>
      <c r="D65" s="8">
        <v>24.263000000000002</v>
      </c>
      <c r="E65" s="8">
        <v>11.8812</v>
      </c>
      <c r="F65" s="8">
        <v>1</v>
      </c>
      <c r="G65" s="8">
        <v>0</v>
      </c>
      <c r="H65" s="104">
        <v>66</v>
      </c>
      <c r="I65" s="73">
        <v>2</v>
      </c>
    </row>
    <row r="66" spans="1:9" x14ac:dyDescent="0.25">
      <c r="A66" s="99">
        <f t="shared" si="0"/>
        <v>65</v>
      </c>
      <c r="B66" s="155">
        <v>0</v>
      </c>
      <c r="C66">
        <v>0</v>
      </c>
      <c r="D66" s="8">
        <v>4.3834</v>
      </c>
      <c r="E66" s="8">
        <v>2.0979000000000001</v>
      </c>
      <c r="F66" s="8">
        <v>1</v>
      </c>
      <c r="G66" s="8">
        <v>0</v>
      </c>
      <c r="H66" s="6">
        <v>22</v>
      </c>
      <c r="I66" s="73">
        <v>2</v>
      </c>
    </row>
    <row r="67" spans="1:9" x14ac:dyDescent="0.25">
      <c r="A67" s="99">
        <f t="shared" si="0"/>
        <v>66</v>
      </c>
      <c r="B67" s="155">
        <v>0</v>
      </c>
      <c r="C67">
        <v>0</v>
      </c>
      <c r="D67" s="8">
        <v>2.5638000000000001</v>
      </c>
      <c r="E67" s="8">
        <v>1.2608999999999999</v>
      </c>
      <c r="F67" s="8">
        <v>1</v>
      </c>
      <c r="G67" s="8">
        <v>0</v>
      </c>
      <c r="H67" s="6">
        <v>22</v>
      </c>
      <c r="I67" s="73">
        <v>2</v>
      </c>
    </row>
    <row r="68" spans="1:9" x14ac:dyDescent="0.25">
      <c r="A68" s="99">
        <f t="shared" ref="A68:A131" si="1">A67+1</f>
        <v>67</v>
      </c>
      <c r="B68" s="155">
        <v>0</v>
      </c>
      <c r="C68">
        <v>0</v>
      </c>
      <c r="D68" s="8">
        <v>2.4601999999999999</v>
      </c>
      <c r="E68" s="8">
        <v>1.2233000000000001</v>
      </c>
      <c r="F68" s="8">
        <v>1</v>
      </c>
      <c r="G68" s="8">
        <v>0</v>
      </c>
      <c r="H68" s="6">
        <v>22</v>
      </c>
      <c r="I68" s="73">
        <v>2</v>
      </c>
    </row>
    <row r="69" spans="1:9" x14ac:dyDescent="0.25">
      <c r="A69" s="99">
        <f t="shared" si="1"/>
        <v>68</v>
      </c>
      <c r="B69" s="155">
        <v>0</v>
      </c>
      <c r="C69">
        <v>0</v>
      </c>
      <c r="D69" s="8">
        <v>0</v>
      </c>
      <c r="E69" s="8">
        <v>0</v>
      </c>
      <c r="F69" s="8">
        <v>1</v>
      </c>
      <c r="G69" s="8">
        <v>0</v>
      </c>
      <c r="H69" s="6">
        <v>22</v>
      </c>
      <c r="I69" s="73">
        <v>2</v>
      </c>
    </row>
    <row r="70" spans="1:9" x14ac:dyDescent="0.25">
      <c r="A70" s="99">
        <f t="shared" si="1"/>
        <v>69</v>
      </c>
      <c r="B70" s="155">
        <v>0</v>
      </c>
      <c r="C70">
        <v>0</v>
      </c>
      <c r="D70" s="8">
        <v>0</v>
      </c>
      <c r="E70" s="8">
        <v>0</v>
      </c>
      <c r="F70" s="8">
        <v>1</v>
      </c>
      <c r="G70" s="8">
        <v>0</v>
      </c>
      <c r="H70" s="6">
        <v>22</v>
      </c>
      <c r="I70" s="73">
        <v>2</v>
      </c>
    </row>
    <row r="71" spans="1:9" x14ac:dyDescent="0.25">
      <c r="A71" s="99">
        <f t="shared" si="1"/>
        <v>70</v>
      </c>
      <c r="B71" s="155">
        <v>0</v>
      </c>
      <c r="C71">
        <v>0</v>
      </c>
      <c r="D71" s="8">
        <v>2.9481999999999999</v>
      </c>
      <c r="E71" s="8">
        <v>1.4533</v>
      </c>
      <c r="F71" s="8">
        <v>1</v>
      </c>
      <c r="G71" s="8">
        <v>0</v>
      </c>
      <c r="H71" s="6">
        <v>22</v>
      </c>
      <c r="I71" s="73">
        <v>2</v>
      </c>
    </row>
    <row r="72" spans="1:9" x14ac:dyDescent="0.25">
      <c r="A72" s="99">
        <f t="shared" si="1"/>
        <v>71</v>
      </c>
      <c r="B72" s="155">
        <v>0</v>
      </c>
      <c r="C72">
        <v>0</v>
      </c>
      <c r="D72" s="8">
        <v>8.7748000000000008</v>
      </c>
      <c r="E72" s="8">
        <v>4.4272999999999998</v>
      </c>
      <c r="F72" s="8">
        <v>1</v>
      </c>
      <c r="G72" s="8">
        <v>0</v>
      </c>
      <c r="H72" s="6">
        <v>22</v>
      </c>
      <c r="I72" s="73">
        <v>2</v>
      </c>
    </row>
    <row r="73" spans="1:9" x14ac:dyDescent="0.25">
      <c r="A73" s="99">
        <f t="shared" si="1"/>
        <v>72</v>
      </c>
      <c r="B73" s="155">
        <v>0</v>
      </c>
      <c r="C73">
        <v>0</v>
      </c>
      <c r="D73" s="8">
        <v>0</v>
      </c>
      <c r="E73" s="8">
        <v>0</v>
      </c>
      <c r="F73" s="8">
        <v>1</v>
      </c>
      <c r="G73" s="8">
        <v>0</v>
      </c>
      <c r="H73" s="6">
        <v>22</v>
      </c>
      <c r="I73" s="73">
        <v>2</v>
      </c>
    </row>
    <row r="74" spans="1:9" x14ac:dyDescent="0.25">
      <c r="A74" s="99">
        <f t="shared" si="1"/>
        <v>73</v>
      </c>
      <c r="B74" s="155">
        <v>0</v>
      </c>
      <c r="C74">
        <v>0</v>
      </c>
      <c r="D74" s="8">
        <v>3.9036</v>
      </c>
      <c r="E74" s="8">
        <v>1.9357</v>
      </c>
      <c r="F74" s="8">
        <v>1</v>
      </c>
      <c r="G74" s="8">
        <v>0</v>
      </c>
      <c r="H74" s="6">
        <v>22</v>
      </c>
      <c r="I74" s="73">
        <v>2</v>
      </c>
    </row>
    <row r="75" spans="1:9" x14ac:dyDescent="0.25">
      <c r="A75" s="99">
        <f t="shared" si="1"/>
        <v>74</v>
      </c>
      <c r="B75" s="155">
        <v>0</v>
      </c>
      <c r="C75">
        <v>0</v>
      </c>
      <c r="D75" s="8">
        <v>0</v>
      </c>
      <c r="E75" s="8">
        <v>0</v>
      </c>
      <c r="F75" s="8">
        <v>1</v>
      </c>
      <c r="G75" s="8">
        <v>0</v>
      </c>
      <c r="H75" s="6">
        <v>22</v>
      </c>
      <c r="I75" s="73">
        <v>2</v>
      </c>
    </row>
    <row r="76" spans="1:9" x14ac:dyDescent="0.25">
      <c r="A76" s="99">
        <f t="shared" si="1"/>
        <v>75</v>
      </c>
      <c r="B76" s="155">
        <v>0</v>
      </c>
      <c r="C76">
        <v>0</v>
      </c>
      <c r="D76" s="8">
        <v>2.4823</v>
      </c>
      <c r="E76" s="8">
        <v>1.26</v>
      </c>
      <c r="F76" s="8">
        <v>1</v>
      </c>
      <c r="G76" s="8">
        <v>0</v>
      </c>
      <c r="H76" s="6">
        <v>22</v>
      </c>
      <c r="I76" s="73">
        <v>2</v>
      </c>
    </row>
    <row r="77" spans="1:9" x14ac:dyDescent="0.25">
      <c r="A77" s="99">
        <f t="shared" si="1"/>
        <v>76</v>
      </c>
      <c r="B77" s="155">
        <v>0</v>
      </c>
      <c r="C77">
        <v>0</v>
      </c>
      <c r="D77" s="8">
        <v>3.0773999999999999</v>
      </c>
      <c r="E77" s="8">
        <v>1.504</v>
      </c>
      <c r="F77" s="8">
        <v>1</v>
      </c>
      <c r="G77" s="8">
        <v>0</v>
      </c>
      <c r="H77" s="6">
        <v>22</v>
      </c>
      <c r="I77" s="73">
        <v>2</v>
      </c>
    </row>
    <row r="78" spans="1:9" x14ac:dyDescent="0.25">
      <c r="A78" s="99">
        <f t="shared" si="1"/>
        <v>77</v>
      </c>
      <c r="B78" s="155">
        <v>0</v>
      </c>
      <c r="C78">
        <v>0</v>
      </c>
      <c r="D78" s="8">
        <v>2.5249000000000001</v>
      </c>
      <c r="E78" s="8">
        <v>1.2511000000000001</v>
      </c>
      <c r="F78" s="8">
        <v>1</v>
      </c>
      <c r="G78" s="8">
        <v>0</v>
      </c>
      <c r="H78" s="6">
        <v>22</v>
      </c>
      <c r="I78" s="73">
        <v>2</v>
      </c>
    </row>
    <row r="79" spans="1:9" x14ac:dyDescent="0.25">
      <c r="A79" s="99">
        <f t="shared" si="1"/>
        <v>78</v>
      </c>
      <c r="B79" s="155">
        <v>0</v>
      </c>
      <c r="C79">
        <v>0</v>
      </c>
      <c r="D79" s="8">
        <v>0</v>
      </c>
      <c r="E79" s="8">
        <v>0</v>
      </c>
      <c r="F79" s="8">
        <v>1</v>
      </c>
      <c r="G79" s="8">
        <v>0</v>
      </c>
      <c r="H79" s="6">
        <v>22</v>
      </c>
      <c r="I79" s="73">
        <v>2</v>
      </c>
    </row>
    <row r="80" spans="1:9" x14ac:dyDescent="0.25">
      <c r="A80" s="99">
        <f t="shared" si="1"/>
        <v>79</v>
      </c>
      <c r="B80" s="155">
        <v>0</v>
      </c>
      <c r="C80">
        <v>0</v>
      </c>
      <c r="D80" s="8">
        <v>0</v>
      </c>
      <c r="E80" s="8">
        <v>0</v>
      </c>
      <c r="F80" s="8">
        <v>1</v>
      </c>
      <c r="G80" s="8">
        <v>0</v>
      </c>
      <c r="H80" s="6">
        <v>22</v>
      </c>
      <c r="I80" s="73">
        <v>2</v>
      </c>
    </row>
    <row r="81" spans="1:9" x14ac:dyDescent="0.25">
      <c r="A81" s="99">
        <f t="shared" si="1"/>
        <v>80</v>
      </c>
      <c r="B81" s="155">
        <v>0</v>
      </c>
      <c r="C81">
        <v>0</v>
      </c>
      <c r="D81" s="8">
        <v>3.8778000000000001</v>
      </c>
      <c r="E81" s="8">
        <v>1.9389000000000001</v>
      </c>
      <c r="F81" s="8">
        <v>1</v>
      </c>
      <c r="G81" s="8">
        <v>0</v>
      </c>
      <c r="H81" s="6">
        <v>22</v>
      </c>
      <c r="I81" s="73">
        <v>2</v>
      </c>
    </row>
    <row r="82" spans="1:9" x14ac:dyDescent="0.25">
      <c r="A82" s="99">
        <f t="shared" si="1"/>
        <v>81</v>
      </c>
      <c r="B82" s="155">
        <v>0</v>
      </c>
      <c r="C82">
        <v>0</v>
      </c>
      <c r="D82" s="8">
        <v>0</v>
      </c>
      <c r="E82" s="8">
        <v>0</v>
      </c>
      <c r="F82" s="8">
        <v>1</v>
      </c>
      <c r="G82" s="8">
        <v>0</v>
      </c>
      <c r="H82" s="6">
        <v>22</v>
      </c>
      <c r="I82" s="73">
        <v>2</v>
      </c>
    </row>
    <row r="83" spans="1:9" x14ac:dyDescent="0.25">
      <c r="A83" s="99">
        <f t="shared" si="1"/>
        <v>82</v>
      </c>
      <c r="B83" s="155">
        <v>0</v>
      </c>
      <c r="C83">
        <v>0</v>
      </c>
      <c r="D83" s="8">
        <v>4.7885999999999997</v>
      </c>
      <c r="E83" s="8">
        <v>2.44</v>
      </c>
      <c r="F83" s="8">
        <v>1</v>
      </c>
      <c r="G83" s="8">
        <v>0</v>
      </c>
      <c r="H83" s="6">
        <v>22</v>
      </c>
      <c r="I83" s="73">
        <v>2</v>
      </c>
    </row>
    <row r="84" spans="1:9" x14ac:dyDescent="0.25">
      <c r="A84" s="99">
        <f t="shared" si="1"/>
        <v>83</v>
      </c>
      <c r="B84" s="155">
        <v>0</v>
      </c>
      <c r="C84">
        <v>0</v>
      </c>
      <c r="D84" s="8">
        <v>0.74270000000000003</v>
      </c>
      <c r="E84" s="8">
        <v>0.51839999999999997</v>
      </c>
      <c r="F84" s="8">
        <v>1</v>
      </c>
      <c r="G84" s="8">
        <v>0</v>
      </c>
      <c r="H84" s="6">
        <v>22</v>
      </c>
      <c r="I84" s="73">
        <v>2</v>
      </c>
    </row>
    <row r="85" spans="1:9" x14ac:dyDescent="0.25">
      <c r="A85" s="99">
        <f t="shared" si="1"/>
        <v>84</v>
      </c>
      <c r="B85" s="155">
        <v>0</v>
      </c>
      <c r="C85">
        <v>0</v>
      </c>
      <c r="D85" s="8">
        <v>22.050799999999999</v>
      </c>
      <c r="E85" s="8">
        <v>11.0388</v>
      </c>
      <c r="F85" s="8">
        <v>1</v>
      </c>
      <c r="G85" s="8">
        <v>0</v>
      </c>
      <c r="H85" s="104">
        <v>66</v>
      </c>
      <c r="I85" s="73">
        <v>2</v>
      </c>
    </row>
    <row r="86" spans="1:9" x14ac:dyDescent="0.25">
      <c r="A86" s="99">
        <f t="shared" si="1"/>
        <v>85</v>
      </c>
      <c r="B86" s="155">
        <v>0</v>
      </c>
      <c r="C86">
        <v>0</v>
      </c>
      <c r="D86" s="8">
        <v>0.84750000000000003</v>
      </c>
      <c r="E86" s="8">
        <v>0.42730000000000001</v>
      </c>
      <c r="F86" s="8">
        <v>1</v>
      </c>
      <c r="G86" s="8">
        <v>0</v>
      </c>
      <c r="H86" s="6">
        <v>22</v>
      </c>
      <c r="I86" s="73">
        <v>2</v>
      </c>
    </row>
    <row r="87" spans="1:9" x14ac:dyDescent="0.25">
      <c r="A87" s="99">
        <f t="shared" si="1"/>
        <v>86</v>
      </c>
      <c r="B87" s="155">
        <v>0</v>
      </c>
      <c r="C87">
        <v>0</v>
      </c>
      <c r="D87" s="8">
        <v>4.3613999999999997</v>
      </c>
      <c r="E87" s="8">
        <v>2.1806999999999999</v>
      </c>
      <c r="F87" s="8">
        <v>1</v>
      </c>
      <c r="G87" s="8">
        <v>0</v>
      </c>
      <c r="H87" s="6">
        <v>22</v>
      </c>
      <c r="I87" s="73">
        <v>2</v>
      </c>
    </row>
    <row r="88" spans="1:9" x14ac:dyDescent="0.25">
      <c r="A88" s="99">
        <f t="shared" si="1"/>
        <v>87</v>
      </c>
      <c r="B88" s="155">
        <v>0</v>
      </c>
      <c r="C88">
        <v>0</v>
      </c>
      <c r="D88" s="8">
        <v>0</v>
      </c>
      <c r="E88" s="8">
        <v>0</v>
      </c>
      <c r="F88" s="8">
        <v>1</v>
      </c>
      <c r="G88" s="8">
        <v>0</v>
      </c>
      <c r="H88" s="6">
        <v>22</v>
      </c>
      <c r="I88" s="73">
        <v>2</v>
      </c>
    </row>
    <row r="89" spans="1:9" x14ac:dyDescent="0.25">
      <c r="A89" s="99">
        <f t="shared" si="1"/>
        <v>88</v>
      </c>
      <c r="B89" s="155">
        <v>0</v>
      </c>
      <c r="C89">
        <v>0</v>
      </c>
      <c r="D89" s="8">
        <v>29.443100000000001</v>
      </c>
      <c r="E89" s="8">
        <v>14.0764</v>
      </c>
      <c r="F89" s="8">
        <v>1</v>
      </c>
      <c r="G89" s="8">
        <v>0</v>
      </c>
      <c r="H89" s="104">
        <v>66</v>
      </c>
      <c r="I89" s="73">
        <v>2</v>
      </c>
    </row>
    <row r="90" spans="1:9" x14ac:dyDescent="0.25">
      <c r="A90" s="99">
        <f t="shared" si="1"/>
        <v>89</v>
      </c>
      <c r="B90" s="155">
        <v>0</v>
      </c>
      <c r="C90">
        <v>0</v>
      </c>
      <c r="D90" s="8">
        <v>9.9232999999999993</v>
      </c>
      <c r="E90" s="8">
        <v>4.9124999999999996</v>
      </c>
      <c r="F90" s="8">
        <v>1</v>
      </c>
      <c r="G90" s="8">
        <v>0</v>
      </c>
      <c r="H90" s="6">
        <v>22</v>
      </c>
      <c r="I90" s="73">
        <v>2</v>
      </c>
    </row>
    <row r="91" spans="1:9" x14ac:dyDescent="0.25">
      <c r="A91" s="99">
        <f t="shared" si="1"/>
        <v>90</v>
      </c>
      <c r="B91" s="155">
        <v>0</v>
      </c>
      <c r="C91">
        <v>0</v>
      </c>
      <c r="D91" s="8">
        <v>16.0337</v>
      </c>
      <c r="E91" s="8">
        <v>7.9016000000000002</v>
      </c>
      <c r="F91" s="8">
        <v>1</v>
      </c>
      <c r="G91" s="8">
        <v>0</v>
      </c>
      <c r="H91" s="6">
        <v>22</v>
      </c>
      <c r="I91" s="73">
        <v>2</v>
      </c>
    </row>
    <row r="92" spans="1:9" x14ac:dyDescent="0.25">
      <c r="A92" s="99">
        <f t="shared" si="1"/>
        <v>91</v>
      </c>
      <c r="B92" s="155">
        <v>0</v>
      </c>
      <c r="C92">
        <v>0</v>
      </c>
      <c r="D92" s="8">
        <v>0</v>
      </c>
      <c r="E92" s="8">
        <v>0</v>
      </c>
      <c r="F92" s="8">
        <v>1</v>
      </c>
      <c r="G92" s="8">
        <v>0</v>
      </c>
      <c r="H92" s="6">
        <v>22</v>
      </c>
      <c r="I92" s="73">
        <v>2</v>
      </c>
    </row>
    <row r="93" spans="1:9" x14ac:dyDescent="0.25">
      <c r="A93" s="99">
        <f t="shared" si="1"/>
        <v>92</v>
      </c>
      <c r="B93" s="155">
        <v>0</v>
      </c>
      <c r="C93">
        <v>0</v>
      </c>
      <c r="D93" s="8">
        <v>0</v>
      </c>
      <c r="E93" s="8">
        <v>0</v>
      </c>
      <c r="F93" s="8">
        <v>1</v>
      </c>
      <c r="G93" s="8">
        <v>0</v>
      </c>
      <c r="H93" s="6">
        <v>22</v>
      </c>
      <c r="I93" s="73">
        <v>2</v>
      </c>
    </row>
    <row r="94" spans="1:9" x14ac:dyDescent="0.25">
      <c r="A94" s="99">
        <f t="shared" si="1"/>
        <v>93</v>
      </c>
      <c r="B94" s="155">
        <v>0</v>
      </c>
      <c r="C94">
        <v>0</v>
      </c>
      <c r="D94" s="8">
        <v>178.19499999999999</v>
      </c>
      <c r="E94" s="8">
        <v>87.911699999999996</v>
      </c>
      <c r="F94" s="8">
        <v>1</v>
      </c>
      <c r="G94" s="8">
        <v>0</v>
      </c>
      <c r="H94" s="105">
        <v>230</v>
      </c>
      <c r="I94" s="73">
        <v>2</v>
      </c>
    </row>
    <row r="95" spans="1:9" x14ac:dyDescent="0.25">
      <c r="A95" s="99">
        <f t="shared" si="1"/>
        <v>94</v>
      </c>
      <c r="B95" s="155">
        <v>0</v>
      </c>
      <c r="C95">
        <v>0</v>
      </c>
      <c r="D95" s="8">
        <v>122.6844</v>
      </c>
      <c r="E95" s="8">
        <v>60.239400000000003</v>
      </c>
      <c r="F95" s="8">
        <v>1</v>
      </c>
      <c r="G95" s="8">
        <v>0</v>
      </c>
      <c r="H95" s="105">
        <v>230</v>
      </c>
      <c r="I95" s="73">
        <v>2</v>
      </c>
    </row>
    <row r="96" spans="1:9" x14ac:dyDescent="0.25">
      <c r="A96" s="99">
        <f t="shared" si="1"/>
        <v>95</v>
      </c>
      <c r="B96" s="155">
        <v>0</v>
      </c>
      <c r="C96">
        <v>0</v>
      </c>
      <c r="D96" s="8">
        <v>3.4226000000000001</v>
      </c>
      <c r="E96" s="8">
        <v>1.6786000000000001</v>
      </c>
      <c r="F96" s="8">
        <v>1</v>
      </c>
      <c r="G96" s="8">
        <v>0</v>
      </c>
      <c r="H96" s="6">
        <v>22</v>
      </c>
      <c r="I96" s="73">
        <v>2</v>
      </c>
    </row>
    <row r="97" spans="1:9" x14ac:dyDescent="0.25">
      <c r="A97" s="99">
        <f t="shared" si="1"/>
        <v>96</v>
      </c>
      <c r="B97" s="155">
        <v>0</v>
      </c>
      <c r="C97">
        <v>0</v>
      </c>
      <c r="D97" s="8">
        <v>0</v>
      </c>
      <c r="E97" s="8">
        <v>0</v>
      </c>
      <c r="F97" s="8">
        <v>1</v>
      </c>
      <c r="G97" s="8">
        <v>0</v>
      </c>
      <c r="H97" s="6">
        <v>22</v>
      </c>
      <c r="I97" s="73">
        <v>2</v>
      </c>
    </row>
    <row r="98" spans="1:9" x14ac:dyDescent="0.25">
      <c r="A98" s="99">
        <f t="shared" si="1"/>
        <v>97</v>
      </c>
      <c r="B98" s="155">
        <v>0</v>
      </c>
      <c r="C98">
        <v>0</v>
      </c>
      <c r="D98" s="8">
        <v>0.86170000000000002</v>
      </c>
      <c r="E98" s="8">
        <v>0.38019999999999998</v>
      </c>
      <c r="F98" s="8">
        <v>1</v>
      </c>
      <c r="G98" s="8">
        <v>0</v>
      </c>
      <c r="H98" s="6">
        <v>22</v>
      </c>
      <c r="I98" s="73">
        <v>2</v>
      </c>
    </row>
    <row r="99" spans="1:9" x14ac:dyDescent="0.25">
      <c r="A99" s="99">
        <f t="shared" si="1"/>
        <v>98</v>
      </c>
      <c r="B99" s="155">
        <v>0</v>
      </c>
      <c r="C99">
        <v>0</v>
      </c>
      <c r="D99" s="8">
        <v>1.5593999999999999</v>
      </c>
      <c r="E99" s="8">
        <v>0.76690000000000003</v>
      </c>
      <c r="F99" s="8">
        <v>1</v>
      </c>
      <c r="G99" s="8">
        <v>0</v>
      </c>
      <c r="H99" s="6">
        <v>22</v>
      </c>
      <c r="I99" s="73">
        <v>2</v>
      </c>
    </row>
    <row r="100" spans="1:9" x14ac:dyDescent="0.25">
      <c r="A100" s="99">
        <f t="shared" si="1"/>
        <v>99</v>
      </c>
      <c r="B100" s="155">
        <v>0</v>
      </c>
      <c r="C100">
        <v>0</v>
      </c>
      <c r="D100" s="8">
        <v>8.0482999999999993</v>
      </c>
      <c r="E100" s="8">
        <v>3.7107999999999999</v>
      </c>
      <c r="F100" s="8">
        <v>1</v>
      </c>
      <c r="G100" s="8">
        <v>0</v>
      </c>
      <c r="H100" s="6">
        <v>22</v>
      </c>
      <c r="I100" s="73">
        <v>2</v>
      </c>
    </row>
    <row r="101" spans="1:9" x14ac:dyDescent="0.25">
      <c r="A101" s="99">
        <f t="shared" si="1"/>
        <v>100</v>
      </c>
      <c r="B101" s="155">
        <v>0</v>
      </c>
      <c r="C101">
        <v>0</v>
      </c>
      <c r="D101" s="8">
        <v>2.5057</v>
      </c>
      <c r="E101" s="8">
        <v>1.139</v>
      </c>
      <c r="F101" s="8">
        <v>1</v>
      </c>
      <c r="G101" s="8">
        <v>0</v>
      </c>
      <c r="H101" s="6">
        <v>22</v>
      </c>
      <c r="I101" s="73">
        <v>2</v>
      </c>
    </row>
    <row r="102" spans="1:9" x14ac:dyDescent="0.25">
      <c r="A102" s="99">
        <f t="shared" si="1"/>
        <v>101</v>
      </c>
      <c r="B102" s="155">
        <v>0</v>
      </c>
      <c r="C102">
        <v>0</v>
      </c>
      <c r="D102" s="8">
        <v>6.5204000000000004</v>
      </c>
      <c r="E102" s="8">
        <v>3.1859000000000002</v>
      </c>
      <c r="F102" s="8">
        <v>1</v>
      </c>
      <c r="G102" s="8">
        <v>0</v>
      </c>
      <c r="H102" s="6">
        <v>22</v>
      </c>
      <c r="I102" s="73">
        <v>2</v>
      </c>
    </row>
    <row r="103" spans="1:9" x14ac:dyDescent="0.25">
      <c r="A103" s="99">
        <f t="shared" si="1"/>
        <v>102</v>
      </c>
      <c r="B103" s="155">
        <v>0</v>
      </c>
      <c r="C103">
        <v>0</v>
      </c>
      <c r="D103" s="8">
        <v>5.5659000000000001</v>
      </c>
      <c r="E103" s="8">
        <v>2.7183999999999999</v>
      </c>
      <c r="F103" s="8">
        <v>1</v>
      </c>
      <c r="G103" s="8">
        <v>0</v>
      </c>
      <c r="H103" s="6">
        <v>22</v>
      </c>
      <c r="I103" s="73">
        <v>2</v>
      </c>
    </row>
    <row r="104" spans="1:9" x14ac:dyDescent="0.25">
      <c r="A104" s="99">
        <f t="shared" si="1"/>
        <v>103</v>
      </c>
      <c r="B104" s="155">
        <v>0</v>
      </c>
      <c r="C104">
        <v>0</v>
      </c>
      <c r="D104" s="8">
        <v>3.8018000000000001</v>
      </c>
      <c r="E104" s="8">
        <v>2.5546000000000002</v>
      </c>
      <c r="F104" s="8">
        <v>1</v>
      </c>
      <c r="G104" s="8">
        <v>0</v>
      </c>
      <c r="H104" s="6">
        <v>22</v>
      </c>
      <c r="I104" s="73">
        <v>2</v>
      </c>
    </row>
    <row r="105" spans="1:9" x14ac:dyDescent="0.25">
      <c r="A105" s="99">
        <f t="shared" si="1"/>
        <v>104</v>
      </c>
      <c r="B105" s="155">
        <v>0</v>
      </c>
      <c r="C105">
        <v>0</v>
      </c>
      <c r="D105" s="8">
        <v>65.286199999999994</v>
      </c>
      <c r="E105" s="8">
        <v>9.0611999999999995</v>
      </c>
      <c r="F105" s="8">
        <v>1</v>
      </c>
      <c r="G105" s="8">
        <v>0</v>
      </c>
      <c r="H105" s="104">
        <v>66</v>
      </c>
      <c r="I105" s="73">
        <v>2</v>
      </c>
    </row>
    <row r="106" spans="1:9" x14ac:dyDescent="0.25">
      <c r="A106" s="99">
        <f t="shared" si="1"/>
        <v>105</v>
      </c>
      <c r="B106" s="155">
        <v>0</v>
      </c>
      <c r="C106">
        <v>0</v>
      </c>
      <c r="D106" s="8">
        <v>3.4123000000000001</v>
      </c>
      <c r="E106" s="8">
        <v>1.5924</v>
      </c>
      <c r="F106" s="8">
        <v>1</v>
      </c>
      <c r="G106" s="8">
        <v>0</v>
      </c>
      <c r="H106" s="6">
        <v>22</v>
      </c>
      <c r="I106" s="73">
        <v>2</v>
      </c>
    </row>
    <row r="107" spans="1:9" x14ac:dyDescent="0.25">
      <c r="A107" s="99">
        <f t="shared" si="1"/>
        <v>106</v>
      </c>
      <c r="B107" s="155">
        <v>0</v>
      </c>
      <c r="C107">
        <v>0</v>
      </c>
      <c r="D107" s="8">
        <v>0.7621</v>
      </c>
      <c r="E107" s="8">
        <v>0.32429999999999998</v>
      </c>
      <c r="F107" s="8">
        <v>1</v>
      </c>
      <c r="G107" s="8">
        <v>0</v>
      </c>
      <c r="H107" s="6">
        <v>22</v>
      </c>
      <c r="I107" s="73">
        <v>2</v>
      </c>
    </row>
    <row r="108" spans="1:9" x14ac:dyDescent="0.25">
      <c r="A108" s="99">
        <f t="shared" si="1"/>
        <v>107</v>
      </c>
      <c r="B108" s="155">
        <v>0</v>
      </c>
      <c r="C108">
        <v>0</v>
      </c>
      <c r="D108" s="8">
        <v>2.3483999999999998</v>
      </c>
      <c r="E108" s="8">
        <v>1.1626000000000001</v>
      </c>
      <c r="F108" s="8">
        <v>1</v>
      </c>
      <c r="G108" s="8">
        <v>0</v>
      </c>
      <c r="H108" s="6">
        <v>22</v>
      </c>
      <c r="I108" s="73">
        <v>2</v>
      </c>
    </row>
    <row r="109" spans="1:9" x14ac:dyDescent="0.25">
      <c r="A109" s="99">
        <f t="shared" si="1"/>
        <v>108</v>
      </c>
      <c r="B109" s="155">
        <v>0</v>
      </c>
      <c r="C109">
        <v>0</v>
      </c>
      <c r="D109" s="8">
        <v>2.274</v>
      </c>
      <c r="E109" s="8">
        <v>1.1003000000000001</v>
      </c>
      <c r="F109" s="8">
        <v>1</v>
      </c>
      <c r="G109" s="8">
        <v>0</v>
      </c>
      <c r="H109" s="6">
        <v>22</v>
      </c>
      <c r="I109" s="73">
        <v>2</v>
      </c>
    </row>
    <row r="110" spans="1:9" x14ac:dyDescent="0.25">
      <c r="A110" s="99">
        <f t="shared" si="1"/>
        <v>109</v>
      </c>
      <c r="B110" s="155">
        <v>0</v>
      </c>
      <c r="C110">
        <v>0</v>
      </c>
      <c r="D110" s="8">
        <v>0.78410000000000002</v>
      </c>
      <c r="E110" s="8">
        <v>0.37819999999999998</v>
      </c>
      <c r="F110" s="8">
        <v>1</v>
      </c>
      <c r="G110" s="8">
        <v>0</v>
      </c>
      <c r="H110" s="6">
        <v>22</v>
      </c>
      <c r="I110" s="73">
        <v>2</v>
      </c>
    </row>
    <row r="111" spans="1:9" x14ac:dyDescent="0.25">
      <c r="A111" s="99">
        <f t="shared" si="1"/>
        <v>110</v>
      </c>
      <c r="B111" s="155">
        <v>0</v>
      </c>
      <c r="C111">
        <v>0</v>
      </c>
      <c r="D111" s="8">
        <v>0.81659999999999999</v>
      </c>
      <c r="E111" s="8">
        <v>0.39450000000000002</v>
      </c>
      <c r="F111" s="8">
        <v>1</v>
      </c>
      <c r="G111" s="8">
        <v>0</v>
      </c>
      <c r="H111" s="6">
        <v>22</v>
      </c>
      <c r="I111" s="73">
        <v>2</v>
      </c>
    </row>
    <row r="112" spans="1:9" x14ac:dyDescent="0.25">
      <c r="A112" s="99">
        <f t="shared" si="1"/>
        <v>111</v>
      </c>
      <c r="B112" s="155">
        <v>0</v>
      </c>
      <c r="C112">
        <v>0</v>
      </c>
      <c r="D112" s="8">
        <v>0.76539999999999997</v>
      </c>
      <c r="E112" s="8">
        <v>0.36799999999999999</v>
      </c>
      <c r="F112" s="8">
        <v>1</v>
      </c>
      <c r="G112" s="8">
        <v>0</v>
      </c>
      <c r="H112" s="6">
        <v>22</v>
      </c>
      <c r="I112" s="73">
        <v>2</v>
      </c>
    </row>
    <row r="113" spans="1:9" x14ac:dyDescent="0.25">
      <c r="A113" s="99">
        <f t="shared" si="1"/>
        <v>112</v>
      </c>
      <c r="B113" s="155">
        <v>0</v>
      </c>
      <c r="C113">
        <v>0</v>
      </c>
      <c r="D113" s="8">
        <v>0</v>
      </c>
      <c r="E113" s="8">
        <v>0</v>
      </c>
      <c r="F113" s="8">
        <v>1</v>
      </c>
      <c r="G113" s="8">
        <v>0</v>
      </c>
      <c r="H113" s="6">
        <v>66</v>
      </c>
      <c r="I113" s="73">
        <v>2</v>
      </c>
    </row>
    <row r="114" spans="1:9" x14ac:dyDescent="0.25">
      <c r="A114" s="99">
        <f t="shared" si="1"/>
        <v>113</v>
      </c>
      <c r="B114" s="155">
        <v>0</v>
      </c>
      <c r="C114">
        <v>0</v>
      </c>
      <c r="D114" s="8">
        <v>11.3154</v>
      </c>
      <c r="E114" s="8">
        <v>5.4141000000000004</v>
      </c>
      <c r="F114" s="8">
        <v>1</v>
      </c>
      <c r="G114" s="8">
        <v>0</v>
      </c>
      <c r="H114" s="6">
        <v>66</v>
      </c>
      <c r="I114" s="73">
        <v>2</v>
      </c>
    </row>
    <row r="115" spans="1:9" x14ac:dyDescent="0.25">
      <c r="A115" s="99">
        <f t="shared" si="1"/>
        <v>114</v>
      </c>
      <c r="B115" s="155">
        <v>0</v>
      </c>
      <c r="C115">
        <v>0</v>
      </c>
      <c r="D115" s="8">
        <v>15.0197</v>
      </c>
      <c r="E115" s="8">
        <v>7.4447000000000001</v>
      </c>
      <c r="F115" s="8">
        <v>1</v>
      </c>
      <c r="G115" s="8">
        <v>0</v>
      </c>
      <c r="H115" s="6">
        <v>66</v>
      </c>
      <c r="I115" s="73">
        <v>2</v>
      </c>
    </row>
    <row r="116" spans="1:9" x14ac:dyDescent="0.25">
      <c r="A116" s="99">
        <f t="shared" si="1"/>
        <v>115</v>
      </c>
      <c r="B116" s="155">
        <v>0</v>
      </c>
      <c r="C116">
        <v>0</v>
      </c>
      <c r="D116" s="8">
        <v>12.916700000000001</v>
      </c>
      <c r="E116" s="8">
        <v>6.1425000000000001</v>
      </c>
      <c r="F116" s="8">
        <v>1</v>
      </c>
      <c r="G116" s="8">
        <v>0</v>
      </c>
      <c r="H116" s="6">
        <v>66</v>
      </c>
      <c r="I116" s="73">
        <v>2</v>
      </c>
    </row>
    <row r="117" spans="1:9" x14ac:dyDescent="0.25">
      <c r="A117" s="99">
        <f t="shared" si="1"/>
        <v>116</v>
      </c>
      <c r="B117" s="155">
        <v>0</v>
      </c>
      <c r="C117">
        <v>0</v>
      </c>
      <c r="D117" s="8">
        <v>4.0289999999999999</v>
      </c>
      <c r="E117" s="8">
        <v>2.0487000000000002</v>
      </c>
      <c r="F117" s="8">
        <v>1</v>
      </c>
      <c r="G117" s="8">
        <v>0</v>
      </c>
      <c r="H117" s="6">
        <v>66</v>
      </c>
      <c r="I117" s="73">
        <v>2</v>
      </c>
    </row>
    <row r="118" spans="1:9" x14ac:dyDescent="0.25">
      <c r="A118" s="99">
        <f t="shared" si="1"/>
        <v>117</v>
      </c>
      <c r="B118" s="155">
        <v>0</v>
      </c>
      <c r="C118">
        <v>0</v>
      </c>
      <c r="D118" s="8">
        <v>5.0237999999999996</v>
      </c>
      <c r="E118" s="8">
        <v>2.5118999999999998</v>
      </c>
      <c r="F118" s="8">
        <v>1</v>
      </c>
      <c r="G118" s="8">
        <v>0</v>
      </c>
      <c r="H118" s="6">
        <v>66</v>
      </c>
      <c r="I118" s="73">
        <v>2</v>
      </c>
    </row>
    <row r="119" spans="1:9" x14ac:dyDescent="0.25">
      <c r="A119" s="99">
        <f t="shared" si="1"/>
        <v>118</v>
      </c>
      <c r="B119" s="155">
        <v>0</v>
      </c>
      <c r="C119">
        <v>0</v>
      </c>
      <c r="D119" s="8">
        <v>27.451799999999999</v>
      </c>
      <c r="E119" s="8">
        <v>13.116899999999999</v>
      </c>
      <c r="F119" s="8">
        <v>1</v>
      </c>
      <c r="G119" s="8">
        <v>0</v>
      </c>
      <c r="H119" s="6">
        <v>66</v>
      </c>
      <c r="I119" s="73">
        <v>2</v>
      </c>
    </row>
    <row r="120" spans="1:9" x14ac:dyDescent="0.25">
      <c r="A120" s="99">
        <f t="shared" si="1"/>
        <v>119</v>
      </c>
      <c r="B120" s="155">
        <v>0</v>
      </c>
      <c r="C120">
        <v>0</v>
      </c>
      <c r="D120" s="8">
        <v>14.121600000000001</v>
      </c>
      <c r="E120" s="8">
        <v>6.8997999999999999</v>
      </c>
      <c r="F120" s="8">
        <v>1</v>
      </c>
      <c r="G120" s="8">
        <v>0</v>
      </c>
      <c r="H120" s="6">
        <v>22</v>
      </c>
      <c r="I120" s="73">
        <v>2</v>
      </c>
    </row>
    <row r="121" spans="1:9" x14ac:dyDescent="0.25">
      <c r="A121" s="99">
        <f t="shared" si="1"/>
        <v>120</v>
      </c>
      <c r="B121" s="155">
        <v>0</v>
      </c>
      <c r="C121">
        <v>0</v>
      </c>
      <c r="D121" s="8">
        <v>3.4348000000000001</v>
      </c>
      <c r="E121" s="8">
        <v>1.6948000000000001</v>
      </c>
      <c r="F121" s="8">
        <v>1</v>
      </c>
      <c r="G121" s="8">
        <v>0</v>
      </c>
      <c r="H121" s="6">
        <v>22</v>
      </c>
      <c r="I121" s="73">
        <v>2</v>
      </c>
    </row>
    <row r="122" spans="1:9" x14ac:dyDescent="0.25">
      <c r="A122" s="99">
        <f t="shared" si="1"/>
        <v>121</v>
      </c>
      <c r="B122" s="155">
        <v>0</v>
      </c>
      <c r="C122">
        <v>0</v>
      </c>
      <c r="D122" s="8">
        <v>2.3995000000000002</v>
      </c>
      <c r="E122" s="8">
        <v>1.1777</v>
      </c>
      <c r="F122" s="8">
        <v>1</v>
      </c>
      <c r="G122" s="8">
        <v>0</v>
      </c>
      <c r="H122" s="6">
        <v>22</v>
      </c>
      <c r="I122" s="73">
        <v>2</v>
      </c>
    </row>
    <row r="123" spans="1:9" x14ac:dyDescent="0.25">
      <c r="A123" s="99">
        <f t="shared" si="1"/>
        <v>122</v>
      </c>
      <c r="B123" s="155">
        <v>0</v>
      </c>
      <c r="C123">
        <v>0</v>
      </c>
      <c r="D123" s="8">
        <v>6.0688000000000004</v>
      </c>
      <c r="E123" s="8">
        <v>2.9561000000000002</v>
      </c>
      <c r="F123" s="8">
        <v>1</v>
      </c>
      <c r="G123" s="8">
        <v>0</v>
      </c>
      <c r="H123" s="6">
        <v>22</v>
      </c>
      <c r="I123" s="73">
        <v>2</v>
      </c>
    </row>
    <row r="124" spans="1:9" x14ac:dyDescent="0.25">
      <c r="A124" s="99">
        <f t="shared" si="1"/>
        <v>123</v>
      </c>
      <c r="B124" s="155">
        <v>0</v>
      </c>
      <c r="C124">
        <v>0</v>
      </c>
      <c r="D124" s="8">
        <v>27.874199999999998</v>
      </c>
      <c r="E124" s="8">
        <v>13.842700000000001</v>
      </c>
      <c r="F124" s="8">
        <v>1</v>
      </c>
      <c r="G124" s="8">
        <v>0</v>
      </c>
      <c r="H124" s="6">
        <v>22</v>
      </c>
      <c r="I124" s="73">
        <v>2</v>
      </c>
    </row>
    <row r="125" spans="1:9" x14ac:dyDescent="0.25">
      <c r="A125" s="99">
        <f t="shared" si="1"/>
        <v>124</v>
      </c>
      <c r="B125" s="155">
        <v>0</v>
      </c>
      <c r="C125">
        <v>0</v>
      </c>
      <c r="D125" s="8">
        <v>2.5842999999999998</v>
      </c>
      <c r="E125" s="8">
        <v>1.2455000000000001</v>
      </c>
      <c r="F125" s="8">
        <v>1</v>
      </c>
      <c r="G125" s="8">
        <v>0</v>
      </c>
      <c r="H125" s="6">
        <v>22</v>
      </c>
      <c r="I125" s="73">
        <v>2</v>
      </c>
    </row>
    <row r="126" spans="1:9" x14ac:dyDescent="0.25">
      <c r="A126" s="99">
        <f t="shared" si="1"/>
        <v>125</v>
      </c>
      <c r="B126" s="155">
        <v>0</v>
      </c>
      <c r="C126">
        <v>0</v>
      </c>
      <c r="D126" s="8">
        <v>3.2961</v>
      </c>
      <c r="E126" s="8">
        <v>1.508</v>
      </c>
      <c r="F126" s="8">
        <v>1</v>
      </c>
      <c r="G126" s="8">
        <v>0</v>
      </c>
      <c r="H126" s="6">
        <v>22</v>
      </c>
      <c r="I126" s="73">
        <v>2</v>
      </c>
    </row>
    <row r="127" spans="1:9" x14ac:dyDescent="0.25">
      <c r="A127" s="99">
        <f t="shared" si="1"/>
        <v>126</v>
      </c>
      <c r="B127" s="155">
        <v>0</v>
      </c>
      <c r="C127">
        <v>0</v>
      </c>
      <c r="D127" s="8">
        <v>10.054600000000001</v>
      </c>
      <c r="E127" s="8">
        <v>4.8509000000000002</v>
      </c>
      <c r="F127" s="8">
        <v>1</v>
      </c>
      <c r="G127" s="8">
        <v>0</v>
      </c>
      <c r="H127" s="6">
        <v>22</v>
      </c>
      <c r="I127" s="73">
        <v>2</v>
      </c>
    </row>
    <row r="128" spans="1:9" x14ac:dyDescent="0.25">
      <c r="A128" s="99">
        <f t="shared" si="1"/>
        <v>127</v>
      </c>
      <c r="B128" s="155">
        <v>0</v>
      </c>
      <c r="C128">
        <v>0</v>
      </c>
      <c r="D128" s="8">
        <v>4.4516999999999998</v>
      </c>
      <c r="E128" s="8">
        <v>2.1716000000000002</v>
      </c>
      <c r="F128" s="8">
        <v>1</v>
      </c>
      <c r="G128" s="8">
        <v>0</v>
      </c>
      <c r="H128" s="6">
        <v>22</v>
      </c>
      <c r="I128" s="73">
        <v>2</v>
      </c>
    </row>
    <row r="129" spans="1:9" x14ac:dyDescent="0.25">
      <c r="A129" s="99">
        <f t="shared" si="1"/>
        <v>128</v>
      </c>
      <c r="B129" s="155">
        <v>0</v>
      </c>
      <c r="C129">
        <v>0</v>
      </c>
      <c r="D129" s="8">
        <v>3.4533999999999998</v>
      </c>
      <c r="E129" s="8">
        <v>1.6367</v>
      </c>
      <c r="F129" s="8">
        <v>1</v>
      </c>
      <c r="G129" s="8">
        <v>0</v>
      </c>
      <c r="H129" s="6">
        <v>22</v>
      </c>
      <c r="I129" s="73">
        <v>2</v>
      </c>
    </row>
    <row r="130" spans="1:9" x14ac:dyDescent="0.25">
      <c r="A130" s="99">
        <f t="shared" si="1"/>
        <v>129</v>
      </c>
      <c r="B130" s="155">
        <v>0</v>
      </c>
      <c r="C130">
        <v>0</v>
      </c>
      <c r="D130" s="8">
        <v>3.3121</v>
      </c>
      <c r="E130" s="8">
        <v>1.877</v>
      </c>
      <c r="F130" s="8">
        <v>1</v>
      </c>
      <c r="G130" s="8">
        <v>0</v>
      </c>
      <c r="H130" s="6">
        <v>22</v>
      </c>
      <c r="I130" s="73">
        <v>2</v>
      </c>
    </row>
    <row r="131" spans="1:9" x14ac:dyDescent="0.25">
      <c r="A131" s="99">
        <f t="shared" si="1"/>
        <v>130</v>
      </c>
      <c r="B131" s="155">
        <v>0</v>
      </c>
      <c r="C131">
        <v>0</v>
      </c>
      <c r="D131" s="8">
        <v>9.5890000000000004</v>
      </c>
      <c r="E131" s="8">
        <v>4.7992999999999997</v>
      </c>
      <c r="F131" s="8">
        <v>1</v>
      </c>
      <c r="G131" s="8">
        <v>0</v>
      </c>
      <c r="H131" s="6">
        <v>22</v>
      </c>
      <c r="I131" s="73">
        <v>2</v>
      </c>
    </row>
    <row r="132" spans="1:9" x14ac:dyDescent="0.25">
      <c r="A132" s="99">
        <f t="shared" ref="A132:A195" si="2">A131+1</f>
        <v>131</v>
      </c>
      <c r="B132" s="155">
        <v>0</v>
      </c>
      <c r="C132">
        <v>0</v>
      </c>
      <c r="D132" s="8">
        <v>3.3565</v>
      </c>
      <c r="E132" s="8">
        <v>1.6478999999999999</v>
      </c>
      <c r="F132" s="8">
        <v>1</v>
      </c>
      <c r="G132" s="8">
        <v>0</v>
      </c>
      <c r="H132" s="6">
        <v>22</v>
      </c>
      <c r="I132" s="73">
        <v>2</v>
      </c>
    </row>
    <row r="133" spans="1:9" x14ac:dyDescent="0.25">
      <c r="A133" s="99">
        <f t="shared" si="2"/>
        <v>132</v>
      </c>
      <c r="B133" s="155">
        <v>0</v>
      </c>
      <c r="C133">
        <v>0</v>
      </c>
      <c r="D133" s="8">
        <v>6.4861000000000004</v>
      </c>
      <c r="E133" s="8">
        <v>3.2301000000000002</v>
      </c>
      <c r="F133" s="8">
        <v>1</v>
      </c>
      <c r="G133" s="8">
        <v>0</v>
      </c>
      <c r="H133" s="6">
        <v>22</v>
      </c>
      <c r="I133" s="73">
        <v>2</v>
      </c>
    </row>
    <row r="134" spans="1:9" x14ac:dyDescent="0.25">
      <c r="A134" s="99">
        <f t="shared" si="2"/>
        <v>133</v>
      </c>
      <c r="B134" s="155">
        <v>0</v>
      </c>
      <c r="C134">
        <v>0</v>
      </c>
      <c r="D134" s="8">
        <v>14.4861</v>
      </c>
      <c r="E134" s="8">
        <v>7.2534000000000001</v>
      </c>
      <c r="F134" s="8">
        <v>1</v>
      </c>
      <c r="G134" s="8">
        <v>0</v>
      </c>
      <c r="H134" s="6">
        <v>22</v>
      </c>
      <c r="I134" s="73">
        <v>2</v>
      </c>
    </row>
    <row r="135" spans="1:9" x14ac:dyDescent="0.25">
      <c r="A135" s="99">
        <f t="shared" si="2"/>
        <v>134</v>
      </c>
      <c r="B135" s="155">
        <v>0</v>
      </c>
      <c r="C135">
        <v>0</v>
      </c>
      <c r="D135" s="8">
        <v>112.4286</v>
      </c>
      <c r="E135" s="8">
        <v>56.545499999999997</v>
      </c>
      <c r="F135" s="8">
        <v>1</v>
      </c>
      <c r="G135" s="8">
        <v>0</v>
      </c>
      <c r="H135" s="104">
        <v>66</v>
      </c>
      <c r="I135" s="73">
        <v>2</v>
      </c>
    </row>
    <row r="136" spans="1:9" x14ac:dyDescent="0.25">
      <c r="A136" s="99">
        <f t="shared" si="2"/>
        <v>135</v>
      </c>
      <c r="B136" s="155">
        <v>0</v>
      </c>
      <c r="C136">
        <v>0</v>
      </c>
      <c r="D136" s="8">
        <v>0</v>
      </c>
      <c r="E136" s="8">
        <v>0</v>
      </c>
      <c r="F136" s="8">
        <v>1</v>
      </c>
      <c r="G136" s="8">
        <v>0</v>
      </c>
      <c r="H136" s="6">
        <v>22</v>
      </c>
      <c r="I136" s="73">
        <v>2</v>
      </c>
    </row>
    <row r="137" spans="1:9" x14ac:dyDescent="0.25">
      <c r="A137" s="99">
        <f t="shared" si="2"/>
        <v>136</v>
      </c>
      <c r="B137" s="155">
        <v>0</v>
      </c>
      <c r="C137">
        <v>0</v>
      </c>
      <c r="D137" s="8">
        <v>4.2897999999999996</v>
      </c>
      <c r="E137" s="8">
        <v>2.1297000000000001</v>
      </c>
      <c r="F137" s="8">
        <v>1</v>
      </c>
      <c r="G137" s="8">
        <v>0</v>
      </c>
      <c r="H137" s="6">
        <v>22</v>
      </c>
      <c r="I137" s="73">
        <v>2</v>
      </c>
    </row>
    <row r="138" spans="1:9" x14ac:dyDescent="0.25">
      <c r="A138" s="99">
        <f t="shared" si="2"/>
        <v>137</v>
      </c>
      <c r="B138" s="155">
        <v>0</v>
      </c>
      <c r="C138">
        <v>0</v>
      </c>
      <c r="D138" s="8">
        <v>4.6711999999999998</v>
      </c>
      <c r="E138" s="8">
        <v>2.2997000000000001</v>
      </c>
      <c r="F138" s="8">
        <v>1</v>
      </c>
      <c r="G138" s="8">
        <v>0</v>
      </c>
      <c r="H138" s="6">
        <v>22</v>
      </c>
      <c r="I138" s="73">
        <v>2</v>
      </c>
    </row>
    <row r="139" spans="1:9" x14ac:dyDescent="0.25">
      <c r="A139" s="99">
        <f t="shared" si="2"/>
        <v>138</v>
      </c>
      <c r="B139" s="155">
        <v>0</v>
      </c>
      <c r="C139">
        <v>0</v>
      </c>
      <c r="D139" s="8">
        <v>3.2517999999999998</v>
      </c>
      <c r="E139" s="8">
        <v>1.5714999999999999</v>
      </c>
      <c r="F139" s="8">
        <v>1</v>
      </c>
      <c r="G139" s="8">
        <v>0</v>
      </c>
      <c r="H139" s="6">
        <v>22</v>
      </c>
      <c r="I139" s="73">
        <v>2</v>
      </c>
    </row>
    <row r="140" spans="1:9" x14ac:dyDescent="0.25">
      <c r="A140" s="99">
        <f t="shared" si="2"/>
        <v>139</v>
      </c>
      <c r="B140" s="155">
        <v>0</v>
      </c>
      <c r="C140">
        <v>0</v>
      </c>
      <c r="D140" s="8">
        <v>0</v>
      </c>
      <c r="E140" s="8">
        <v>0</v>
      </c>
      <c r="F140" s="8">
        <v>1</v>
      </c>
      <c r="G140" s="8">
        <v>0</v>
      </c>
      <c r="H140" s="6">
        <v>22</v>
      </c>
      <c r="I140" s="73">
        <v>2</v>
      </c>
    </row>
    <row r="141" spans="1:9" x14ac:dyDescent="0.25">
      <c r="A141" s="99">
        <f t="shared" si="2"/>
        <v>140</v>
      </c>
      <c r="B141" s="155">
        <v>0</v>
      </c>
      <c r="C141">
        <v>0</v>
      </c>
      <c r="D141" s="8">
        <v>0</v>
      </c>
      <c r="E141" s="8">
        <v>0</v>
      </c>
      <c r="F141" s="8">
        <v>1</v>
      </c>
      <c r="G141" s="8">
        <v>0</v>
      </c>
      <c r="H141" s="6">
        <v>22</v>
      </c>
      <c r="I141" s="73">
        <v>2</v>
      </c>
    </row>
    <row r="142" spans="1:9" x14ac:dyDescent="0.25">
      <c r="A142" s="99">
        <f t="shared" si="2"/>
        <v>141</v>
      </c>
      <c r="B142" s="155">
        <v>0</v>
      </c>
      <c r="C142">
        <v>0</v>
      </c>
      <c r="D142" s="8">
        <v>16.3337</v>
      </c>
      <c r="E142" s="8">
        <v>5.3685999999999998</v>
      </c>
      <c r="F142" s="8">
        <v>1</v>
      </c>
      <c r="G142" s="8">
        <v>0</v>
      </c>
      <c r="H142" s="6">
        <v>22</v>
      </c>
      <c r="I142" s="73">
        <v>2</v>
      </c>
    </row>
    <row r="143" spans="1:9" x14ac:dyDescent="0.25">
      <c r="A143" s="99">
        <f t="shared" si="2"/>
        <v>142</v>
      </c>
      <c r="B143" s="155">
        <v>0</v>
      </c>
      <c r="C143">
        <v>0</v>
      </c>
      <c r="D143" s="8">
        <v>0</v>
      </c>
      <c r="E143" s="8">
        <v>0</v>
      </c>
      <c r="F143" s="8">
        <v>1</v>
      </c>
      <c r="G143" s="8">
        <v>0</v>
      </c>
      <c r="H143" s="6">
        <v>22</v>
      </c>
      <c r="I143" s="73">
        <v>2</v>
      </c>
    </row>
    <row r="144" spans="1:9" x14ac:dyDescent="0.25">
      <c r="A144" s="99">
        <f t="shared" si="2"/>
        <v>143</v>
      </c>
      <c r="B144" s="155">
        <v>0</v>
      </c>
      <c r="C144">
        <v>0</v>
      </c>
      <c r="D144" s="8">
        <v>0</v>
      </c>
      <c r="E144" s="8">
        <v>0</v>
      </c>
      <c r="F144" s="8">
        <v>1</v>
      </c>
      <c r="G144" s="8">
        <v>0</v>
      </c>
      <c r="H144" s="6">
        <v>22</v>
      </c>
      <c r="I144" s="73">
        <v>2</v>
      </c>
    </row>
    <row r="145" spans="1:9" x14ac:dyDescent="0.25">
      <c r="A145" s="99">
        <f t="shared" si="2"/>
        <v>144</v>
      </c>
      <c r="B145" s="155">
        <v>0</v>
      </c>
      <c r="C145">
        <v>0</v>
      </c>
      <c r="D145" s="8">
        <v>0</v>
      </c>
      <c r="E145" s="8">
        <v>0</v>
      </c>
      <c r="F145" s="8">
        <v>1</v>
      </c>
      <c r="G145" s="8">
        <v>0</v>
      </c>
      <c r="H145" s="6">
        <v>22</v>
      </c>
      <c r="I145" s="73">
        <v>2</v>
      </c>
    </row>
    <row r="146" spans="1:9" x14ac:dyDescent="0.25">
      <c r="A146" s="99">
        <f t="shared" si="2"/>
        <v>145</v>
      </c>
      <c r="B146" s="155">
        <v>0</v>
      </c>
      <c r="C146">
        <v>0</v>
      </c>
      <c r="D146" s="8">
        <v>0</v>
      </c>
      <c r="E146" s="8">
        <v>0</v>
      </c>
      <c r="F146" s="8">
        <v>1</v>
      </c>
      <c r="G146" s="8">
        <v>0</v>
      </c>
      <c r="H146" s="6">
        <v>22</v>
      </c>
      <c r="I146" s="73">
        <v>2</v>
      </c>
    </row>
    <row r="147" spans="1:9" x14ac:dyDescent="0.25">
      <c r="A147" s="99">
        <f t="shared" si="2"/>
        <v>146</v>
      </c>
      <c r="B147" s="155">
        <v>0</v>
      </c>
      <c r="C147">
        <v>0</v>
      </c>
      <c r="D147" s="8">
        <v>3.6038000000000001</v>
      </c>
      <c r="E147" s="8">
        <v>1.79</v>
      </c>
      <c r="F147" s="8">
        <v>1</v>
      </c>
      <c r="G147" s="8">
        <v>0</v>
      </c>
      <c r="H147" s="6">
        <v>22</v>
      </c>
      <c r="I147" s="73">
        <v>2</v>
      </c>
    </row>
    <row r="148" spans="1:9" x14ac:dyDescent="0.25">
      <c r="A148" s="99">
        <f t="shared" si="2"/>
        <v>147</v>
      </c>
      <c r="B148" s="155">
        <v>0</v>
      </c>
      <c r="C148">
        <v>0</v>
      </c>
      <c r="D148" s="8">
        <v>16.009799999999998</v>
      </c>
      <c r="E148" s="8">
        <v>7.7156000000000002</v>
      </c>
      <c r="F148" s="8">
        <v>1</v>
      </c>
      <c r="G148" s="8">
        <v>0</v>
      </c>
      <c r="H148" s="6">
        <v>22</v>
      </c>
      <c r="I148" s="73">
        <v>2</v>
      </c>
    </row>
    <row r="149" spans="1:9" x14ac:dyDescent="0.25">
      <c r="A149" s="99">
        <f t="shared" si="2"/>
        <v>148</v>
      </c>
      <c r="B149" s="155">
        <v>0</v>
      </c>
      <c r="C149">
        <v>0</v>
      </c>
      <c r="D149" s="8">
        <v>5.3445999999999998</v>
      </c>
      <c r="E149" s="8">
        <v>2.2768000000000002</v>
      </c>
      <c r="F149" s="8">
        <v>1</v>
      </c>
      <c r="G149" s="8">
        <v>0</v>
      </c>
      <c r="H149" s="6">
        <v>22</v>
      </c>
      <c r="I149" s="73">
        <v>2</v>
      </c>
    </row>
    <row r="150" spans="1:9" x14ac:dyDescent="0.25">
      <c r="A150" s="99">
        <f t="shared" si="2"/>
        <v>149</v>
      </c>
      <c r="B150" s="155">
        <v>0</v>
      </c>
      <c r="C150">
        <v>0</v>
      </c>
      <c r="D150" s="8">
        <v>115.3693</v>
      </c>
      <c r="E150" s="8">
        <v>57.082099999999997</v>
      </c>
      <c r="F150" s="8">
        <v>1</v>
      </c>
      <c r="G150" s="8">
        <v>0</v>
      </c>
      <c r="H150" s="104">
        <v>66</v>
      </c>
      <c r="I150" s="73">
        <v>2</v>
      </c>
    </row>
    <row r="151" spans="1:9" x14ac:dyDescent="0.25">
      <c r="A151" s="99">
        <f t="shared" si="2"/>
        <v>150</v>
      </c>
      <c r="B151" s="155">
        <v>0</v>
      </c>
      <c r="C151">
        <v>0</v>
      </c>
      <c r="D151" s="8">
        <v>12.1683</v>
      </c>
      <c r="E151" s="8">
        <v>4.8091999999999997</v>
      </c>
      <c r="F151" s="8">
        <v>1</v>
      </c>
      <c r="G151" s="8">
        <v>0</v>
      </c>
      <c r="H151" s="6">
        <v>22</v>
      </c>
      <c r="I151" s="73">
        <v>2</v>
      </c>
    </row>
    <row r="152" spans="1:9" x14ac:dyDescent="0.25">
      <c r="A152" s="99">
        <f t="shared" si="2"/>
        <v>151</v>
      </c>
      <c r="B152" s="155">
        <v>0</v>
      </c>
      <c r="C152">
        <v>0</v>
      </c>
      <c r="D152" s="8">
        <v>0</v>
      </c>
      <c r="E152" s="8">
        <v>0</v>
      </c>
      <c r="F152" s="8">
        <v>1</v>
      </c>
      <c r="G152" s="8">
        <v>0</v>
      </c>
      <c r="H152" s="6">
        <v>22</v>
      </c>
      <c r="I152" s="73">
        <v>2</v>
      </c>
    </row>
    <row r="153" spans="1:9" x14ac:dyDescent="0.25">
      <c r="A153" s="99">
        <f t="shared" si="2"/>
        <v>152</v>
      </c>
      <c r="B153" s="155">
        <v>0</v>
      </c>
      <c r="C153">
        <v>0</v>
      </c>
      <c r="D153" s="8">
        <v>35.034300000000002</v>
      </c>
      <c r="E153" s="8">
        <v>17.593399999999999</v>
      </c>
      <c r="F153" s="8">
        <v>1</v>
      </c>
      <c r="G153" s="8">
        <v>0</v>
      </c>
      <c r="H153" s="104">
        <v>66</v>
      </c>
      <c r="I153" s="73">
        <v>2</v>
      </c>
    </row>
    <row r="154" spans="1:9" x14ac:dyDescent="0.25">
      <c r="A154" s="99">
        <f t="shared" si="2"/>
        <v>153</v>
      </c>
      <c r="B154" s="155">
        <v>0</v>
      </c>
      <c r="C154">
        <v>0</v>
      </c>
      <c r="D154" s="8">
        <v>24.5946</v>
      </c>
      <c r="E154" s="8">
        <v>12.2973</v>
      </c>
      <c r="F154" s="8">
        <v>1</v>
      </c>
      <c r="G154" s="8">
        <v>0</v>
      </c>
      <c r="H154" s="104">
        <v>66</v>
      </c>
      <c r="I154" s="73">
        <v>2</v>
      </c>
    </row>
    <row r="155" spans="1:9" x14ac:dyDescent="0.25">
      <c r="A155" s="99">
        <f t="shared" si="2"/>
        <v>154</v>
      </c>
      <c r="B155" s="155">
        <v>0</v>
      </c>
      <c r="C155">
        <v>0</v>
      </c>
      <c r="D155" s="8">
        <v>17.644300000000001</v>
      </c>
      <c r="E155" s="8">
        <v>8.8221000000000007</v>
      </c>
      <c r="F155" s="8">
        <v>1</v>
      </c>
      <c r="G155" s="8">
        <v>0</v>
      </c>
      <c r="H155" s="6">
        <v>22</v>
      </c>
      <c r="I155" s="73">
        <v>2</v>
      </c>
    </row>
    <row r="156" spans="1:9" x14ac:dyDescent="0.25">
      <c r="A156" s="99">
        <f t="shared" si="2"/>
        <v>155</v>
      </c>
      <c r="B156" s="155">
        <v>0</v>
      </c>
      <c r="C156">
        <v>0</v>
      </c>
      <c r="D156" s="8">
        <v>8.9106000000000005</v>
      </c>
      <c r="E156" s="8">
        <v>4.4553000000000003</v>
      </c>
      <c r="F156" s="8">
        <v>1</v>
      </c>
      <c r="G156" s="8">
        <v>0</v>
      </c>
      <c r="H156" s="6">
        <v>22</v>
      </c>
      <c r="I156" s="73">
        <v>2</v>
      </c>
    </row>
    <row r="157" spans="1:9" x14ac:dyDescent="0.25">
      <c r="A157" s="99">
        <f t="shared" si="2"/>
        <v>156</v>
      </c>
      <c r="B157" s="155">
        <v>0</v>
      </c>
      <c r="C157">
        <v>0</v>
      </c>
      <c r="D157" s="8">
        <v>0</v>
      </c>
      <c r="E157" s="8">
        <v>0</v>
      </c>
      <c r="F157" s="8">
        <v>1</v>
      </c>
      <c r="G157" s="8">
        <v>0</v>
      </c>
      <c r="H157" s="104">
        <v>66</v>
      </c>
      <c r="I157" s="73">
        <v>2</v>
      </c>
    </row>
    <row r="158" spans="1:9" x14ac:dyDescent="0.25">
      <c r="A158" s="99">
        <f t="shared" si="2"/>
        <v>157</v>
      </c>
      <c r="B158" s="155">
        <v>0</v>
      </c>
      <c r="C158">
        <v>0</v>
      </c>
      <c r="D158" s="8">
        <v>0</v>
      </c>
      <c r="E158" s="8">
        <v>0</v>
      </c>
      <c r="F158" s="8">
        <v>1</v>
      </c>
      <c r="G158" s="8">
        <v>0</v>
      </c>
      <c r="H158" s="104">
        <v>66</v>
      </c>
      <c r="I158" s="73">
        <v>2</v>
      </c>
    </row>
    <row r="159" spans="1:9" x14ac:dyDescent="0.25">
      <c r="A159" s="99">
        <f t="shared" si="2"/>
        <v>158</v>
      </c>
      <c r="B159" s="155">
        <v>0</v>
      </c>
      <c r="C159">
        <v>0</v>
      </c>
      <c r="D159" s="8">
        <v>25.559100000000001</v>
      </c>
      <c r="E159" s="8">
        <v>11.9915</v>
      </c>
      <c r="F159" s="8">
        <v>1</v>
      </c>
      <c r="G159" s="8">
        <v>0</v>
      </c>
      <c r="H159" s="6">
        <v>22</v>
      </c>
      <c r="I159" s="73">
        <v>2</v>
      </c>
    </row>
    <row r="160" spans="1:9" x14ac:dyDescent="0.25">
      <c r="A160" s="99">
        <f t="shared" si="2"/>
        <v>159</v>
      </c>
      <c r="B160" s="155">
        <v>0</v>
      </c>
      <c r="C160">
        <v>0</v>
      </c>
      <c r="D160" s="8">
        <v>26.4086</v>
      </c>
      <c r="E160" s="8">
        <v>12.7903</v>
      </c>
      <c r="F160" s="8">
        <v>1</v>
      </c>
      <c r="G160" s="8">
        <v>0</v>
      </c>
      <c r="H160" s="104">
        <v>66</v>
      </c>
      <c r="I160" s="73">
        <v>2</v>
      </c>
    </row>
    <row r="161" spans="1:9" x14ac:dyDescent="0.25">
      <c r="A161" s="99">
        <f t="shared" si="2"/>
        <v>160</v>
      </c>
      <c r="B161" s="155">
        <v>0</v>
      </c>
      <c r="C161">
        <v>0</v>
      </c>
      <c r="D161" s="8">
        <v>24.519200000000001</v>
      </c>
      <c r="E161" s="8">
        <v>10.4451</v>
      </c>
      <c r="F161" s="8">
        <v>1</v>
      </c>
      <c r="G161" s="8">
        <v>0</v>
      </c>
      <c r="H161" s="104">
        <v>66</v>
      </c>
      <c r="I161" s="73">
        <v>2</v>
      </c>
    </row>
    <row r="162" spans="1:9" x14ac:dyDescent="0.25">
      <c r="A162" s="99">
        <f t="shared" si="2"/>
        <v>161</v>
      </c>
      <c r="B162" s="155">
        <v>0</v>
      </c>
      <c r="C162">
        <v>0</v>
      </c>
      <c r="D162" s="8">
        <v>16.2011</v>
      </c>
      <c r="E162" s="8">
        <v>8.1006</v>
      </c>
      <c r="F162" s="8">
        <v>1</v>
      </c>
      <c r="G162" s="8">
        <v>0</v>
      </c>
      <c r="H162" s="104">
        <v>66</v>
      </c>
      <c r="I162" s="73">
        <v>2</v>
      </c>
    </row>
    <row r="163" spans="1:9" x14ac:dyDescent="0.25">
      <c r="A163" s="99">
        <f t="shared" si="2"/>
        <v>162</v>
      </c>
      <c r="B163" s="155">
        <v>0</v>
      </c>
      <c r="C163">
        <v>0</v>
      </c>
      <c r="D163" s="8">
        <v>25.0533</v>
      </c>
      <c r="E163" s="8">
        <v>12.5267</v>
      </c>
      <c r="F163" s="8">
        <v>1</v>
      </c>
      <c r="G163" s="8">
        <v>0</v>
      </c>
      <c r="H163" s="104">
        <v>66</v>
      </c>
      <c r="I163" s="73">
        <v>2</v>
      </c>
    </row>
    <row r="164" spans="1:9" x14ac:dyDescent="0.25">
      <c r="A164" s="99">
        <f t="shared" si="2"/>
        <v>163</v>
      </c>
      <c r="B164" s="155">
        <v>0</v>
      </c>
      <c r="C164">
        <v>0</v>
      </c>
      <c r="D164" s="8">
        <v>12.9451</v>
      </c>
      <c r="E164" s="8">
        <v>6.9870000000000001</v>
      </c>
      <c r="F164" s="8">
        <v>1</v>
      </c>
      <c r="G164" s="8">
        <v>0</v>
      </c>
      <c r="H164" s="104">
        <v>66</v>
      </c>
      <c r="I164" s="73">
        <v>2</v>
      </c>
    </row>
    <row r="165" spans="1:9" x14ac:dyDescent="0.25">
      <c r="A165" s="99">
        <f t="shared" si="2"/>
        <v>164</v>
      </c>
      <c r="B165" s="155">
        <v>0</v>
      </c>
      <c r="C165">
        <v>0</v>
      </c>
      <c r="D165" s="8">
        <v>12.9321</v>
      </c>
      <c r="E165" s="8">
        <v>6.6253000000000002</v>
      </c>
      <c r="F165" s="8">
        <v>1</v>
      </c>
      <c r="G165" s="8">
        <v>0</v>
      </c>
      <c r="H165" s="6">
        <v>22</v>
      </c>
      <c r="I165" s="73">
        <v>2</v>
      </c>
    </row>
    <row r="166" spans="1:9" x14ac:dyDescent="0.25">
      <c r="A166" s="99">
        <f t="shared" si="2"/>
        <v>165</v>
      </c>
      <c r="B166" s="155">
        <v>0</v>
      </c>
      <c r="C166">
        <v>0</v>
      </c>
      <c r="D166" s="8">
        <v>4.7717000000000001</v>
      </c>
      <c r="E166" s="8">
        <v>2.4445999999999999</v>
      </c>
      <c r="F166" s="8">
        <v>1</v>
      </c>
      <c r="G166" s="8">
        <v>0</v>
      </c>
      <c r="H166" s="6">
        <v>22</v>
      </c>
      <c r="I166" s="73">
        <v>2</v>
      </c>
    </row>
    <row r="167" spans="1:9" x14ac:dyDescent="0.25">
      <c r="A167" s="99">
        <f t="shared" si="2"/>
        <v>166</v>
      </c>
      <c r="B167" s="155">
        <v>0</v>
      </c>
      <c r="C167">
        <v>0</v>
      </c>
      <c r="D167" s="8">
        <v>4.7027999999999999</v>
      </c>
      <c r="E167" s="8">
        <v>2.4093</v>
      </c>
      <c r="F167" s="8">
        <v>1</v>
      </c>
      <c r="G167" s="8">
        <v>0</v>
      </c>
      <c r="H167" s="6">
        <v>22</v>
      </c>
      <c r="I167" s="73">
        <v>2</v>
      </c>
    </row>
    <row r="168" spans="1:9" x14ac:dyDescent="0.25">
      <c r="A168" s="99">
        <f t="shared" si="2"/>
        <v>167</v>
      </c>
      <c r="B168" s="155">
        <v>0</v>
      </c>
      <c r="C168">
        <v>0</v>
      </c>
      <c r="D168" s="8">
        <v>4.5415000000000001</v>
      </c>
      <c r="E168" s="8">
        <v>2.3267000000000002</v>
      </c>
      <c r="F168" s="8">
        <v>1</v>
      </c>
      <c r="G168" s="8">
        <v>0</v>
      </c>
      <c r="H168" s="6">
        <v>22</v>
      </c>
      <c r="I168" s="73">
        <v>2</v>
      </c>
    </row>
    <row r="169" spans="1:9" x14ac:dyDescent="0.25">
      <c r="A169" s="99">
        <f t="shared" si="2"/>
        <v>168</v>
      </c>
      <c r="B169" s="155">
        <v>0</v>
      </c>
      <c r="C169">
        <v>0</v>
      </c>
      <c r="D169" s="8">
        <v>0</v>
      </c>
      <c r="E169" s="8">
        <v>0</v>
      </c>
      <c r="F169" s="8">
        <v>1</v>
      </c>
      <c r="G169" s="8">
        <v>0</v>
      </c>
      <c r="H169" s="6">
        <v>22</v>
      </c>
      <c r="I169" s="73">
        <v>2</v>
      </c>
    </row>
    <row r="170" spans="1:9" x14ac:dyDescent="0.25">
      <c r="A170" s="99">
        <f t="shared" si="2"/>
        <v>169</v>
      </c>
      <c r="B170" s="155">
        <v>0</v>
      </c>
      <c r="C170">
        <v>0</v>
      </c>
      <c r="D170" s="8">
        <v>4.5602</v>
      </c>
      <c r="E170" s="8">
        <v>1.4988999999999999</v>
      </c>
      <c r="F170" s="8">
        <v>1</v>
      </c>
      <c r="G170" s="8">
        <v>0</v>
      </c>
      <c r="H170" s="6">
        <v>22</v>
      </c>
      <c r="I170" s="73">
        <v>2</v>
      </c>
    </row>
    <row r="171" spans="1:9" x14ac:dyDescent="0.25">
      <c r="A171" s="99">
        <f t="shared" si="2"/>
        <v>170</v>
      </c>
      <c r="B171" s="155">
        <v>0</v>
      </c>
      <c r="C171">
        <v>0</v>
      </c>
      <c r="D171" s="8">
        <v>4.3765999999999998</v>
      </c>
      <c r="E171" s="8">
        <v>1.8644000000000001</v>
      </c>
      <c r="F171" s="8">
        <v>1</v>
      </c>
      <c r="G171" s="8">
        <v>0</v>
      </c>
      <c r="H171" s="6">
        <v>22</v>
      </c>
      <c r="I171" s="73">
        <v>2</v>
      </c>
    </row>
    <row r="172" spans="1:9" x14ac:dyDescent="0.25">
      <c r="A172" s="99">
        <f t="shared" si="2"/>
        <v>171</v>
      </c>
      <c r="B172" s="155">
        <v>0</v>
      </c>
      <c r="C172">
        <v>0</v>
      </c>
      <c r="D172" s="8">
        <v>0</v>
      </c>
      <c r="E172" s="8">
        <v>0</v>
      </c>
      <c r="F172" s="8">
        <v>1</v>
      </c>
      <c r="G172" s="8">
        <v>0</v>
      </c>
      <c r="H172" s="6">
        <v>22</v>
      </c>
      <c r="I172" s="73">
        <v>2</v>
      </c>
    </row>
    <row r="173" spans="1:9" x14ac:dyDescent="0.25">
      <c r="A173" s="99">
        <f t="shared" si="2"/>
        <v>172</v>
      </c>
      <c r="B173" s="155">
        <v>0</v>
      </c>
      <c r="C173">
        <v>0</v>
      </c>
      <c r="D173" s="8">
        <v>0</v>
      </c>
      <c r="E173" s="8">
        <v>0</v>
      </c>
      <c r="F173" s="8">
        <v>1</v>
      </c>
      <c r="G173" s="8">
        <v>0</v>
      </c>
      <c r="H173" s="6">
        <v>22</v>
      </c>
      <c r="I173" s="73">
        <v>2</v>
      </c>
    </row>
    <row r="174" spans="1:9" x14ac:dyDescent="0.25">
      <c r="A174" s="99">
        <f t="shared" si="2"/>
        <v>173</v>
      </c>
      <c r="B174" s="155">
        <v>0</v>
      </c>
      <c r="C174">
        <v>0</v>
      </c>
      <c r="D174" s="8">
        <v>0</v>
      </c>
      <c r="E174" s="8">
        <v>0</v>
      </c>
      <c r="F174" s="8">
        <v>1</v>
      </c>
      <c r="G174" s="8">
        <v>0</v>
      </c>
      <c r="H174" s="6">
        <v>22</v>
      </c>
      <c r="I174" s="73">
        <v>2</v>
      </c>
    </row>
    <row r="175" spans="1:9" x14ac:dyDescent="0.25">
      <c r="A175" s="99">
        <f t="shared" si="2"/>
        <v>174</v>
      </c>
      <c r="B175" s="155">
        <v>0</v>
      </c>
      <c r="C175">
        <v>0</v>
      </c>
      <c r="D175" s="8">
        <v>14.137600000000001</v>
      </c>
      <c r="E175" s="8">
        <v>6.6452</v>
      </c>
      <c r="F175" s="8">
        <v>1</v>
      </c>
      <c r="G175" s="8">
        <v>0</v>
      </c>
      <c r="H175" s="6">
        <v>22</v>
      </c>
      <c r="I175" s="73">
        <v>2</v>
      </c>
    </row>
    <row r="176" spans="1:9" x14ac:dyDescent="0.25">
      <c r="A176" s="99">
        <f t="shared" si="2"/>
        <v>175</v>
      </c>
      <c r="B176" s="155">
        <v>0</v>
      </c>
      <c r="C176">
        <v>0</v>
      </c>
      <c r="D176" s="8">
        <v>8.0678000000000001</v>
      </c>
      <c r="E176" s="8">
        <v>2.6518000000000002</v>
      </c>
      <c r="F176" s="8">
        <v>1</v>
      </c>
      <c r="G176" s="8">
        <v>0</v>
      </c>
      <c r="H176" s="6">
        <v>22</v>
      </c>
      <c r="I176" s="73">
        <v>2</v>
      </c>
    </row>
    <row r="177" spans="1:9" x14ac:dyDescent="0.25">
      <c r="A177" s="99">
        <f t="shared" si="2"/>
        <v>176</v>
      </c>
      <c r="B177" s="155">
        <v>0</v>
      </c>
      <c r="C177">
        <v>0</v>
      </c>
      <c r="D177" s="8">
        <v>10.7637</v>
      </c>
      <c r="E177" s="8">
        <v>5.3041</v>
      </c>
      <c r="F177" s="8">
        <v>1</v>
      </c>
      <c r="G177" s="8">
        <v>0</v>
      </c>
      <c r="H177" s="6">
        <v>22</v>
      </c>
      <c r="I177" s="73">
        <v>2</v>
      </c>
    </row>
    <row r="178" spans="1:9" x14ac:dyDescent="0.25">
      <c r="A178" s="99">
        <f t="shared" si="2"/>
        <v>177</v>
      </c>
      <c r="B178" s="155">
        <v>0</v>
      </c>
      <c r="C178">
        <v>0</v>
      </c>
      <c r="D178" s="8">
        <v>9.8641000000000005</v>
      </c>
      <c r="E178" s="8">
        <v>4.8659999999999997</v>
      </c>
      <c r="F178" s="8">
        <v>1</v>
      </c>
      <c r="G178" s="8">
        <v>0</v>
      </c>
      <c r="H178" s="6">
        <v>22</v>
      </c>
      <c r="I178" s="73">
        <v>2</v>
      </c>
    </row>
    <row r="179" spans="1:9" x14ac:dyDescent="0.25">
      <c r="A179" s="99">
        <f t="shared" si="2"/>
        <v>178</v>
      </c>
      <c r="B179" s="155">
        <v>0</v>
      </c>
      <c r="C179">
        <v>0</v>
      </c>
      <c r="D179" s="8">
        <v>10.999499999999999</v>
      </c>
      <c r="E179" s="8">
        <v>5.4260999999999999</v>
      </c>
      <c r="F179" s="8">
        <v>1</v>
      </c>
      <c r="G179" s="8">
        <v>0</v>
      </c>
      <c r="H179" s="6">
        <v>22</v>
      </c>
      <c r="I179" s="73">
        <v>2</v>
      </c>
    </row>
    <row r="180" spans="1:9" x14ac:dyDescent="0.25">
      <c r="A180" s="99">
        <f t="shared" si="2"/>
        <v>179</v>
      </c>
      <c r="B180" s="155">
        <v>0</v>
      </c>
      <c r="C180">
        <v>0</v>
      </c>
      <c r="D180" s="8">
        <v>88.519000000000005</v>
      </c>
      <c r="E180" s="8">
        <v>4.4021999999999997</v>
      </c>
      <c r="F180" s="8">
        <v>1</v>
      </c>
      <c r="G180" s="8">
        <v>0</v>
      </c>
      <c r="H180" s="104">
        <v>66</v>
      </c>
      <c r="I180" s="73">
        <v>2</v>
      </c>
    </row>
    <row r="181" spans="1:9" x14ac:dyDescent="0.25">
      <c r="A181" s="99">
        <f t="shared" si="2"/>
        <v>180</v>
      </c>
      <c r="B181" s="155">
        <v>0</v>
      </c>
      <c r="C181">
        <v>0</v>
      </c>
      <c r="D181" s="8">
        <v>13.418699999999999</v>
      </c>
      <c r="E181" s="8">
        <v>5.3033999999999999</v>
      </c>
      <c r="F181" s="8">
        <v>1</v>
      </c>
      <c r="G181" s="8">
        <v>0</v>
      </c>
      <c r="H181" s="6">
        <v>66</v>
      </c>
      <c r="I181" s="73">
        <v>2</v>
      </c>
    </row>
    <row r="182" spans="1:9" x14ac:dyDescent="0.25">
      <c r="A182" s="99">
        <f t="shared" si="2"/>
        <v>181</v>
      </c>
      <c r="B182" s="155">
        <v>0</v>
      </c>
      <c r="C182">
        <v>0</v>
      </c>
      <c r="D182" s="8">
        <v>11.709899999999999</v>
      </c>
      <c r="E182" s="8">
        <v>5.657</v>
      </c>
      <c r="F182" s="8">
        <v>1</v>
      </c>
      <c r="G182" s="8">
        <v>0</v>
      </c>
      <c r="H182" s="6">
        <v>66</v>
      </c>
      <c r="I182" s="73">
        <v>2</v>
      </c>
    </row>
    <row r="183" spans="1:9" x14ac:dyDescent="0.25">
      <c r="A183" s="99">
        <f t="shared" si="2"/>
        <v>182</v>
      </c>
      <c r="B183" s="155">
        <v>0</v>
      </c>
      <c r="C183">
        <v>0</v>
      </c>
      <c r="D183" s="8">
        <v>5.7355</v>
      </c>
      <c r="E183" s="8">
        <v>2.9114</v>
      </c>
      <c r="F183" s="8">
        <v>1</v>
      </c>
      <c r="G183" s="8">
        <v>0</v>
      </c>
      <c r="H183" s="6">
        <v>22</v>
      </c>
      <c r="I183" s="73">
        <v>2</v>
      </c>
    </row>
    <row r="184" spans="1:9" x14ac:dyDescent="0.25">
      <c r="A184" s="99">
        <f t="shared" si="2"/>
        <v>183</v>
      </c>
      <c r="B184" s="155">
        <v>0</v>
      </c>
      <c r="C184">
        <v>0</v>
      </c>
      <c r="D184" s="8">
        <v>7.0891000000000002</v>
      </c>
      <c r="E184" s="8">
        <v>3.8262999999999998</v>
      </c>
      <c r="F184" s="8">
        <v>1</v>
      </c>
      <c r="G184" s="8">
        <v>0</v>
      </c>
      <c r="H184" s="6">
        <v>22</v>
      </c>
      <c r="I184" s="73">
        <v>2</v>
      </c>
    </row>
    <row r="185" spans="1:9" x14ac:dyDescent="0.25">
      <c r="A185" s="99">
        <f t="shared" si="2"/>
        <v>184</v>
      </c>
      <c r="B185" s="155">
        <v>0</v>
      </c>
      <c r="C185">
        <v>0</v>
      </c>
      <c r="D185" s="8">
        <v>0</v>
      </c>
      <c r="E185" s="8">
        <v>0</v>
      </c>
      <c r="F185" s="8">
        <v>1</v>
      </c>
      <c r="G185" s="8">
        <v>0</v>
      </c>
      <c r="H185" s="6">
        <v>22</v>
      </c>
      <c r="I185" s="73">
        <v>2</v>
      </c>
    </row>
    <row r="186" spans="1:9" x14ac:dyDescent="0.25">
      <c r="A186" s="99">
        <f t="shared" si="2"/>
        <v>185</v>
      </c>
      <c r="B186" s="155">
        <v>0</v>
      </c>
      <c r="C186">
        <v>0</v>
      </c>
      <c r="D186" s="8">
        <v>247.49019999999999</v>
      </c>
      <c r="E186" s="8">
        <v>13.1662</v>
      </c>
      <c r="F186" s="8">
        <v>1</v>
      </c>
      <c r="G186" s="8">
        <v>0</v>
      </c>
      <c r="H186" s="104">
        <v>66</v>
      </c>
      <c r="I186" s="73">
        <v>2</v>
      </c>
    </row>
    <row r="187" spans="1:9" x14ac:dyDescent="0.25">
      <c r="A187" s="99">
        <f t="shared" si="2"/>
        <v>186</v>
      </c>
      <c r="B187" s="155">
        <v>0</v>
      </c>
      <c r="C187">
        <v>0</v>
      </c>
      <c r="D187" s="8">
        <v>0</v>
      </c>
      <c r="E187" s="8">
        <v>0</v>
      </c>
      <c r="F187" s="8">
        <v>1</v>
      </c>
      <c r="G187" s="8">
        <v>0</v>
      </c>
      <c r="H187" s="6">
        <v>22</v>
      </c>
      <c r="I187" s="73">
        <v>2</v>
      </c>
    </row>
    <row r="188" spans="1:9" x14ac:dyDescent="0.25">
      <c r="A188" s="99">
        <f t="shared" si="2"/>
        <v>187</v>
      </c>
      <c r="B188" s="155">
        <v>0</v>
      </c>
      <c r="C188">
        <v>0</v>
      </c>
      <c r="D188" s="8">
        <v>0</v>
      </c>
      <c r="E188" s="8">
        <v>0</v>
      </c>
      <c r="F188" s="8">
        <v>1</v>
      </c>
      <c r="G188" s="8">
        <v>0</v>
      </c>
      <c r="H188" s="6">
        <v>22</v>
      </c>
      <c r="I188" s="73">
        <v>2</v>
      </c>
    </row>
    <row r="189" spans="1:9" x14ac:dyDescent="0.25">
      <c r="A189" s="99">
        <f t="shared" si="2"/>
        <v>188</v>
      </c>
      <c r="B189" s="155">
        <v>0</v>
      </c>
      <c r="C189">
        <v>0</v>
      </c>
      <c r="D189" s="8">
        <v>12.479900000000001</v>
      </c>
      <c r="E189" s="8">
        <v>7.0727000000000002</v>
      </c>
      <c r="F189" s="8">
        <v>1</v>
      </c>
      <c r="G189" s="8">
        <v>0</v>
      </c>
      <c r="H189" s="6">
        <v>22</v>
      </c>
      <c r="I189" s="73">
        <v>2</v>
      </c>
    </row>
    <row r="190" spans="1:9" x14ac:dyDescent="0.25">
      <c r="A190" s="99">
        <f t="shared" si="2"/>
        <v>189</v>
      </c>
      <c r="B190" s="155">
        <v>0</v>
      </c>
      <c r="C190">
        <v>0</v>
      </c>
      <c r="D190" s="8">
        <v>8.5566999999999993</v>
      </c>
      <c r="E190" s="8">
        <v>4.0362</v>
      </c>
      <c r="F190" s="8">
        <v>1</v>
      </c>
      <c r="G190" s="8">
        <v>0</v>
      </c>
      <c r="H190" s="6">
        <v>22</v>
      </c>
      <c r="I190" s="73">
        <v>2</v>
      </c>
    </row>
    <row r="191" spans="1:9" x14ac:dyDescent="0.25">
      <c r="A191" s="99">
        <f t="shared" si="2"/>
        <v>190</v>
      </c>
      <c r="B191" s="155">
        <v>0</v>
      </c>
      <c r="C191">
        <v>0</v>
      </c>
      <c r="D191" s="8">
        <v>105.3845</v>
      </c>
      <c r="E191" s="8">
        <v>51.852200000000003</v>
      </c>
      <c r="F191" s="8">
        <v>1</v>
      </c>
      <c r="G191" s="8">
        <v>0</v>
      </c>
      <c r="H191" s="104">
        <v>66</v>
      </c>
      <c r="I191" s="73">
        <v>2</v>
      </c>
    </row>
    <row r="192" spans="1:9" x14ac:dyDescent="0.25">
      <c r="A192" s="99">
        <f t="shared" si="2"/>
        <v>191</v>
      </c>
      <c r="B192" s="155">
        <v>0</v>
      </c>
      <c r="C192">
        <v>0</v>
      </c>
      <c r="D192" s="8">
        <v>4.3532000000000002</v>
      </c>
      <c r="E192" s="8">
        <v>2.1667000000000001</v>
      </c>
      <c r="F192" s="8">
        <v>1</v>
      </c>
      <c r="G192" s="8">
        <v>0</v>
      </c>
      <c r="H192" s="6">
        <v>22</v>
      </c>
      <c r="I192" s="73">
        <v>2</v>
      </c>
    </row>
    <row r="193" spans="1:9" x14ac:dyDescent="0.25">
      <c r="A193" s="99">
        <f t="shared" si="2"/>
        <v>192</v>
      </c>
      <c r="B193" s="155">
        <v>0</v>
      </c>
      <c r="C193">
        <v>0</v>
      </c>
      <c r="D193" s="8">
        <v>5.0505000000000004</v>
      </c>
      <c r="E193" s="8">
        <v>1.66</v>
      </c>
      <c r="F193" s="8">
        <v>1</v>
      </c>
      <c r="G193" s="8">
        <v>0</v>
      </c>
      <c r="H193" s="6">
        <v>22</v>
      </c>
      <c r="I193" s="73">
        <v>2</v>
      </c>
    </row>
    <row r="194" spans="1:9" x14ac:dyDescent="0.25">
      <c r="A194" s="99">
        <f t="shared" si="2"/>
        <v>193</v>
      </c>
      <c r="B194" s="155">
        <v>0</v>
      </c>
      <c r="C194">
        <v>0</v>
      </c>
      <c r="D194" s="8">
        <v>5.0454999999999997</v>
      </c>
      <c r="E194" s="8">
        <v>1.6584000000000001</v>
      </c>
      <c r="F194" s="8">
        <v>1</v>
      </c>
      <c r="G194" s="8">
        <v>0</v>
      </c>
      <c r="H194" s="6">
        <v>22</v>
      </c>
      <c r="I194" s="73">
        <v>2</v>
      </c>
    </row>
    <row r="195" spans="1:9" x14ac:dyDescent="0.25">
      <c r="A195" s="99">
        <f t="shared" si="2"/>
        <v>194</v>
      </c>
      <c r="B195" s="155">
        <v>0</v>
      </c>
      <c r="C195">
        <v>0</v>
      </c>
      <c r="D195" s="8">
        <v>0</v>
      </c>
      <c r="E195" s="8">
        <v>0</v>
      </c>
      <c r="F195" s="8">
        <v>1</v>
      </c>
      <c r="G195" s="8">
        <v>0</v>
      </c>
      <c r="H195" s="6">
        <v>22</v>
      </c>
      <c r="I195" s="73">
        <v>2</v>
      </c>
    </row>
    <row r="196" spans="1:9" x14ac:dyDescent="0.25">
      <c r="A196" s="99">
        <f t="shared" ref="A196:A209" si="3">A195+1</f>
        <v>195</v>
      </c>
      <c r="B196" s="155">
        <v>0</v>
      </c>
      <c r="C196">
        <v>0</v>
      </c>
      <c r="D196" s="8">
        <v>10.222</v>
      </c>
      <c r="E196" s="8">
        <v>4.8353999999999999</v>
      </c>
      <c r="F196" s="8">
        <v>1</v>
      </c>
      <c r="G196" s="8">
        <v>0</v>
      </c>
      <c r="H196" s="6">
        <v>22</v>
      </c>
      <c r="I196" s="73">
        <v>2</v>
      </c>
    </row>
    <row r="197" spans="1:9" x14ac:dyDescent="0.25">
      <c r="A197" s="99">
        <f t="shared" si="3"/>
        <v>196</v>
      </c>
      <c r="B197" s="155">
        <v>0</v>
      </c>
      <c r="C197">
        <v>0</v>
      </c>
      <c r="D197" s="8">
        <v>0</v>
      </c>
      <c r="E197" s="8">
        <v>0</v>
      </c>
      <c r="F197" s="8">
        <v>1</v>
      </c>
      <c r="G197" s="8">
        <v>0</v>
      </c>
      <c r="H197" s="6">
        <v>22</v>
      </c>
      <c r="I197" s="73">
        <v>2</v>
      </c>
    </row>
    <row r="198" spans="1:9" x14ac:dyDescent="0.25">
      <c r="A198" s="99">
        <f t="shared" si="3"/>
        <v>197</v>
      </c>
      <c r="B198" s="155">
        <v>0</v>
      </c>
      <c r="C198">
        <v>0</v>
      </c>
      <c r="D198" s="8">
        <v>0</v>
      </c>
      <c r="E198" s="8">
        <v>0</v>
      </c>
      <c r="F198" s="8">
        <v>1</v>
      </c>
      <c r="G198" s="8">
        <v>0</v>
      </c>
      <c r="H198" s="6">
        <v>22</v>
      </c>
      <c r="I198" s="73">
        <v>2</v>
      </c>
    </row>
    <row r="199" spans="1:9" x14ac:dyDescent="0.25">
      <c r="A199" s="99">
        <f t="shared" si="3"/>
        <v>198</v>
      </c>
      <c r="B199" s="155">
        <v>0</v>
      </c>
      <c r="C199">
        <v>0</v>
      </c>
      <c r="D199" s="8">
        <v>6.2827999999999999</v>
      </c>
      <c r="E199" s="8">
        <v>3.1265000000000001</v>
      </c>
      <c r="F199" s="8">
        <v>1</v>
      </c>
      <c r="G199" s="8">
        <v>0</v>
      </c>
      <c r="H199" s="6">
        <v>22</v>
      </c>
      <c r="I199" s="73">
        <v>2</v>
      </c>
    </row>
    <row r="200" spans="1:9" x14ac:dyDescent="0.25">
      <c r="A200" s="99">
        <f t="shared" si="3"/>
        <v>199</v>
      </c>
      <c r="B200" s="155">
        <v>0</v>
      </c>
      <c r="C200">
        <v>0</v>
      </c>
      <c r="D200" s="8">
        <v>0</v>
      </c>
      <c r="E200" s="8">
        <v>0</v>
      </c>
      <c r="F200" s="8">
        <v>1</v>
      </c>
      <c r="G200" s="8">
        <v>0</v>
      </c>
      <c r="H200" s="6">
        <v>22</v>
      </c>
      <c r="I200" s="73">
        <v>2</v>
      </c>
    </row>
    <row r="201" spans="1:9" x14ac:dyDescent="0.25">
      <c r="A201" s="99">
        <f t="shared" si="3"/>
        <v>200</v>
      </c>
      <c r="B201" s="155">
        <v>0</v>
      </c>
      <c r="C201">
        <v>0</v>
      </c>
      <c r="D201" s="8">
        <v>12.4749</v>
      </c>
      <c r="E201" s="8">
        <v>5.1147</v>
      </c>
      <c r="F201" s="8">
        <v>1</v>
      </c>
      <c r="G201" s="8">
        <v>0</v>
      </c>
      <c r="H201" s="6">
        <v>22</v>
      </c>
      <c r="I201" s="73">
        <v>2</v>
      </c>
    </row>
    <row r="202" spans="1:9" x14ac:dyDescent="0.25">
      <c r="A202" s="99">
        <f t="shared" si="3"/>
        <v>201</v>
      </c>
      <c r="B202" s="155">
        <v>0</v>
      </c>
      <c r="C202">
        <v>0</v>
      </c>
      <c r="D202" s="8">
        <v>2.5693999999999999</v>
      </c>
      <c r="E202" s="8">
        <v>1.2847</v>
      </c>
      <c r="F202" s="8">
        <v>1</v>
      </c>
      <c r="G202" s="8">
        <v>0</v>
      </c>
      <c r="H202" s="6">
        <v>22</v>
      </c>
      <c r="I202" s="73">
        <v>2</v>
      </c>
    </row>
    <row r="203" spans="1:9" x14ac:dyDescent="0.25">
      <c r="A203" s="99">
        <f t="shared" si="3"/>
        <v>202</v>
      </c>
      <c r="B203" s="155">
        <v>0</v>
      </c>
      <c r="C203">
        <v>0</v>
      </c>
      <c r="D203" s="8">
        <v>0</v>
      </c>
      <c r="E203" s="8">
        <v>0</v>
      </c>
      <c r="F203" s="8">
        <v>1</v>
      </c>
      <c r="G203" s="8">
        <v>0</v>
      </c>
      <c r="H203" s="6">
        <v>22</v>
      </c>
      <c r="I203" s="73">
        <v>2</v>
      </c>
    </row>
    <row r="204" spans="1:9" x14ac:dyDescent="0.25">
      <c r="A204" s="99">
        <f t="shared" si="3"/>
        <v>203</v>
      </c>
      <c r="B204" s="155">
        <v>0</v>
      </c>
      <c r="C204">
        <v>0</v>
      </c>
      <c r="D204" s="8">
        <v>12.57</v>
      </c>
      <c r="E204" s="8">
        <v>6.2226999999999997</v>
      </c>
      <c r="F204" s="8">
        <v>1</v>
      </c>
      <c r="G204" s="8">
        <v>0</v>
      </c>
      <c r="H204" s="6">
        <v>22</v>
      </c>
      <c r="I204" s="73">
        <v>2</v>
      </c>
    </row>
    <row r="205" spans="1:9" x14ac:dyDescent="0.25">
      <c r="A205" s="99">
        <f t="shared" si="3"/>
        <v>204</v>
      </c>
      <c r="B205" s="155">
        <v>0</v>
      </c>
      <c r="C205">
        <v>0</v>
      </c>
      <c r="D205" s="8">
        <v>3.6143999999999998</v>
      </c>
      <c r="E205" s="8">
        <v>1.8033999999999999</v>
      </c>
      <c r="F205" s="8">
        <v>1</v>
      </c>
      <c r="G205" s="8">
        <v>0</v>
      </c>
      <c r="H205" s="6">
        <v>22</v>
      </c>
      <c r="I205" s="73">
        <v>2</v>
      </c>
    </row>
    <row r="206" spans="1:9" x14ac:dyDescent="0.25">
      <c r="A206" s="99">
        <f t="shared" si="3"/>
        <v>205</v>
      </c>
      <c r="B206" s="155">
        <v>0</v>
      </c>
      <c r="C206">
        <v>0</v>
      </c>
      <c r="D206" s="8">
        <v>7.6348000000000003</v>
      </c>
      <c r="E206" s="8">
        <v>3.7866</v>
      </c>
      <c r="F206" s="8">
        <v>1</v>
      </c>
      <c r="G206" s="8">
        <v>0</v>
      </c>
      <c r="H206" s="6">
        <v>22</v>
      </c>
      <c r="I206" s="73">
        <v>2</v>
      </c>
    </row>
    <row r="207" spans="1:9" x14ac:dyDescent="0.25">
      <c r="A207" s="99">
        <f t="shared" si="3"/>
        <v>206</v>
      </c>
      <c r="B207" s="155">
        <v>0</v>
      </c>
      <c r="C207">
        <v>0</v>
      </c>
      <c r="D207" s="8">
        <v>42.946899999999999</v>
      </c>
      <c r="E207" s="8">
        <v>20.847999999999999</v>
      </c>
      <c r="F207" s="8">
        <v>1</v>
      </c>
      <c r="G207" s="8">
        <v>0</v>
      </c>
      <c r="H207" s="104">
        <v>66</v>
      </c>
      <c r="I207" s="73">
        <v>2</v>
      </c>
    </row>
    <row r="208" spans="1:9" x14ac:dyDescent="0.25">
      <c r="A208" s="99">
        <f t="shared" si="3"/>
        <v>207</v>
      </c>
      <c r="B208" s="155">
        <v>0</v>
      </c>
      <c r="C208">
        <v>0</v>
      </c>
      <c r="D208" s="8">
        <v>0</v>
      </c>
      <c r="E208" s="8">
        <v>0</v>
      </c>
      <c r="F208" s="8">
        <v>1</v>
      </c>
      <c r="G208" s="8">
        <v>0</v>
      </c>
      <c r="H208" s="6">
        <v>22</v>
      </c>
      <c r="I208" s="73">
        <v>2</v>
      </c>
    </row>
    <row r="209" spans="1:9" x14ac:dyDescent="0.25">
      <c r="A209" s="99">
        <f t="shared" si="3"/>
        <v>208</v>
      </c>
      <c r="B209" s="155">
        <v>0</v>
      </c>
      <c r="C209">
        <v>0</v>
      </c>
      <c r="D209" s="8">
        <v>0</v>
      </c>
      <c r="E209" s="8">
        <v>0</v>
      </c>
      <c r="F209" s="8">
        <v>1</v>
      </c>
      <c r="G209" s="8">
        <v>0</v>
      </c>
      <c r="H209" s="105">
        <v>230</v>
      </c>
      <c r="I209" s="73">
        <v>2</v>
      </c>
    </row>
    <row r="210" spans="1:9" x14ac:dyDescent="0.25">
      <c r="D210" s="98">
        <f>SUM(D2:D209)</f>
        <v>2984.7701999999995</v>
      </c>
      <c r="E210" s="98">
        <f>SUM(E2:E209)</f>
        <v>1168.5728999999994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10"/>
  <sheetViews>
    <sheetView workbookViewId="0">
      <selection activeCell="I198" sqref="I198"/>
    </sheetView>
  </sheetViews>
  <sheetFormatPr defaultRowHeight="15" x14ac:dyDescent="0.25"/>
  <cols>
    <col min="1" max="1" width="9.140625" style="2"/>
    <col min="2" max="6" width="12.42578125" customWidth="1"/>
  </cols>
  <sheetData>
    <row r="1" spans="1:6" ht="37.5" customHeight="1" x14ac:dyDescent="0.25">
      <c r="A1" s="11" t="s">
        <v>0</v>
      </c>
      <c r="B1" s="142" t="s">
        <v>21</v>
      </c>
      <c r="C1" s="142" t="s">
        <v>969</v>
      </c>
      <c r="D1" s="142" t="s">
        <v>965</v>
      </c>
      <c r="E1" s="142" t="s">
        <v>966</v>
      </c>
      <c r="F1" s="142" t="s">
        <v>926</v>
      </c>
    </row>
    <row r="2" spans="1:6" x14ac:dyDescent="0.25">
      <c r="A2" s="99">
        <v>1</v>
      </c>
      <c r="B2" s="150">
        <v>-1</v>
      </c>
      <c r="C2" s="150">
        <v>0</v>
      </c>
      <c r="D2" s="150">
        <v>0</v>
      </c>
      <c r="E2" s="150">
        <v>0</v>
      </c>
      <c r="F2" s="150">
        <v>0</v>
      </c>
    </row>
    <row r="3" spans="1:6" x14ac:dyDescent="0.25">
      <c r="A3" s="99">
        <f>A2+1</f>
        <v>2</v>
      </c>
      <c r="B3" s="150">
        <v>-1</v>
      </c>
      <c r="C3" s="150">
        <v>0</v>
      </c>
      <c r="D3" s="150">
        <v>0</v>
      </c>
      <c r="E3" s="150">
        <v>0</v>
      </c>
      <c r="F3" s="150">
        <v>0</v>
      </c>
    </row>
    <row r="4" spans="1:6" x14ac:dyDescent="0.25">
      <c r="A4" s="99">
        <f t="shared" ref="A4:A67" si="0">A3+1</f>
        <v>3</v>
      </c>
      <c r="B4" s="150">
        <v>-1</v>
      </c>
      <c r="C4" s="150">
        <v>0</v>
      </c>
      <c r="D4" s="150">
        <v>0</v>
      </c>
      <c r="E4" s="150">
        <v>0</v>
      </c>
      <c r="F4" s="150">
        <v>0</v>
      </c>
    </row>
    <row r="5" spans="1:6" x14ac:dyDescent="0.25">
      <c r="A5" s="99">
        <f t="shared" si="0"/>
        <v>4</v>
      </c>
      <c r="B5" s="150">
        <v>-1</v>
      </c>
      <c r="C5" s="150">
        <v>0</v>
      </c>
      <c r="D5" s="150">
        <v>0</v>
      </c>
      <c r="E5" s="150">
        <v>0</v>
      </c>
      <c r="F5" s="150">
        <v>0</v>
      </c>
    </row>
    <row r="6" spans="1:6" x14ac:dyDescent="0.25">
      <c r="A6" s="99">
        <f t="shared" si="0"/>
        <v>5</v>
      </c>
      <c r="B6" s="150">
        <v>-1</v>
      </c>
      <c r="C6" s="150">
        <v>0</v>
      </c>
      <c r="D6" s="150">
        <v>0</v>
      </c>
      <c r="E6" s="150">
        <v>0</v>
      </c>
      <c r="F6" s="150">
        <v>0</v>
      </c>
    </row>
    <row r="7" spans="1:6" x14ac:dyDescent="0.25">
      <c r="A7" s="99">
        <f t="shared" si="0"/>
        <v>6</v>
      </c>
      <c r="B7" s="150">
        <v>-1</v>
      </c>
      <c r="C7" s="150">
        <v>0</v>
      </c>
      <c r="D7" s="150">
        <v>0</v>
      </c>
      <c r="E7" s="150">
        <v>0</v>
      </c>
      <c r="F7" s="150">
        <v>0</v>
      </c>
    </row>
    <row r="8" spans="1:6" x14ac:dyDescent="0.25">
      <c r="A8" s="99">
        <f t="shared" si="0"/>
        <v>7</v>
      </c>
      <c r="B8" s="150">
        <v>-1</v>
      </c>
      <c r="C8" s="150">
        <v>0</v>
      </c>
      <c r="D8" s="150">
        <v>0</v>
      </c>
      <c r="E8" s="150">
        <v>0</v>
      </c>
      <c r="F8" s="150">
        <v>0</v>
      </c>
    </row>
    <row r="9" spans="1:6" x14ac:dyDescent="0.25">
      <c r="A9" s="99">
        <f t="shared" si="0"/>
        <v>8</v>
      </c>
      <c r="B9" s="150">
        <v>-1</v>
      </c>
      <c r="C9" s="150">
        <v>0</v>
      </c>
      <c r="D9" s="150">
        <v>0</v>
      </c>
      <c r="E9" s="150">
        <v>0</v>
      </c>
      <c r="F9" s="150">
        <v>0</v>
      </c>
    </row>
    <row r="10" spans="1:6" x14ac:dyDescent="0.25">
      <c r="A10" s="99">
        <f t="shared" si="0"/>
        <v>9</v>
      </c>
      <c r="B10" s="150">
        <v>-1</v>
      </c>
      <c r="C10" s="150">
        <v>0</v>
      </c>
      <c r="D10" s="150">
        <v>0</v>
      </c>
      <c r="E10" s="150">
        <v>0</v>
      </c>
      <c r="F10" s="150">
        <v>0</v>
      </c>
    </row>
    <row r="11" spans="1:6" x14ac:dyDescent="0.25">
      <c r="A11" s="99">
        <f t="shared" si="0"/>
        <v>10</v>
      </c>
      <c r="B11" s="150">
        <v>-1</v>
      </c>
      <c r="C11" s="150">
        <v>0</v>
      </c>
      <c r="D11" s="150">
        <v>0</v>
      </c>
      <c r="E11" s="150">
        <v>0</v>
      </c>
      <c r="F11" s="150">
        <v>0</v>
      </c>
    </row>
    <row r="12" spans="1:6" x14ac:dyDescent="0.25">
      <c r="A12" s="99">
        <f t="shared" si="0"/>
        <v>11</v>
      </c>
      <c r="B12" s="150">
        <v>-1</v>
      </c>
      <c r="C12" s="150">
        <v>0</v>
      </c>
      <c r="D12" s="150">
        <v>0</v>
      </c>
      <c r="E12" s="150">
        <v>0</v>
      </c>
      <c r="F12" s="150">
        <v>0</v>
      </c>
    </row>
    <row r="13" spans="1:6" x14ac:dyDescent="0.25">
      <c r="A13" s="99">
        <f t="shared" si="0"/>
        <v>12</v>
      </c>
      <c r="B13" s="150">
        <v>-1</v>
      </c>
      <c r="C13" s="150">
        <v>0</v>
      </c>
      <c r="D13" s="150">
        <v>0</v>
      </c>
      <c r="E13" s="150">
        <v>0</v>
      </c>
      <c r="F13" s="150">
        <v>0</v>
      </c>
    </row>
    <row r="14" spans="1:6" x14ac:dyDescent="0.25">
      <c r="A14" s="99">
        <f t="shared" si="0"/>
        <v>13</v>
      </c>
      <c r="B14" s="150">
        <v>-1</v>
      </c>
      <c r="C14" s="150">
        <v>0</v>
      </c>
      <c r="D14" s="150">
        <v>0</v>
      </c>
      <c r="E14" s="150">
        <v>0</v>
      </c>
      <c r="F14" s="150">
        <v>0</v>
      </c>
    </row>
    <row r="15" spans="1:6" x14ac:dyDescent="0.25">
      <c r="A15" s="99">
        <f t="shared" si="0"/>
        <v>14</v>
      </c>
      <c r="B15" s="150">
        <v>-1</v>
      </c>
      <c r="C15" s="150">
        <v>0</v>
      </c>
      <c r="D15" s="150">
        <v>0</v>
      </c>
      <c r="E15" s="150">
        <v>0</v>
      </c>
      <c r="F15" s="150">
        <v>0</v>
      </c>
    </row>
    <row r="16" spans="1:6" x14ac:dyDescent="0.25">
      <c r="A16" s="99">
        <f t="shared" si="0"/>
        <v>15</v>
      </c>
      <c r="B16" s="150">
        <v>-1</v>
      </c>
      <c r="C16" s="150">
        <v>0</v>
      </c>
      <c r="D16" s="150">
        <v>0</v>
      </c>
      <c r="E16" s="150">
        <v>0</v>
      </c>
      <c r="F16" s="150">
        <v>0</v>
      </c>
    </row>
    <row r="17" spans="1:6" x14ac:dyDescent="0.25">
      <c r="A17" s="99">
        <f t="shared" si="0"/>
        <v>16</v>
      </c>
      <c r="B17" s="150">
        <v>-1</v>
      </c>
      <c r="C17" s="150">
        <v>0</v>
      </c>
      <c r="D17" s="150">
        <v>0</v>
      </c>
      <c r="E17" s="150">
        <v>0</v>
      </c>
      <c r="F17" s="150">
        <v>0</v>
      </c>
    </row>
    <row r="18" spans="1:6" x14ac:dyDescent="0.25">
      <c r="A18" s="99">
        <f t="shared" si="0"/>
        <v>17</v>
      </c>
      <c r="B18" s="150">
        <v>-1</v>
      </c>
      <c r="C18" s="150">
        <v>0</v>
      </c>
      <c r="D18" s="150">
        <v>0</v>
      </c>
      <c r="E18" s="150">
        <v>0</v>
      </c>
      <c r="F18" s="150">
        <v>0</v>
      </c>
    </row>
    <row r="19" spans="1:6" x14ac:dyDescent="0.25">
      <c r="A19" s="99">
        <f t="shared" si="0"/>
        <v>18</v>
      </c>
      <c r="B19" s="150">
        <v>-1</v>
      </c>
      <c r="C19" s="150">
        <v>0</v>
      </c>
      <c r="D19" s="150">
        <v>0</v>
      </c>
      <c r="E19" s="150">
        <v>0</v>
      </c>
      <c r="F19" s="150">
        <v>0</v>
      </c>
    </row>
    <row r="20" spans="1:6" x14ac:dyDescent="0.25">
      <c r="A20" s="99">
        <f t="shared" si="0"/>
        <v>19</v>
      </c>
      <c r="B20" s="150">
        <v>-1</v>
      </c>
      <c r="C20" s="150">
        <v>0</v>
      </c>
      <c r="D20" s="150">
        <v>0</v>
      </c>
      <c r="E20" s="150">
        <v>0</v>
      </c>
      <c r="F20" s="150">
        <v>0</v>
      </c>
    </row>
    <row r="21" spans="1:6" x14ac:dyDescent="0.25">
      <c r="A21" s="99">
        <f t="shared" si="0"/>
        <v>20</v>
      </c>
      <c r="B21" s="150">
        <v>-1</v>
      </c>
      <c r="C21" s="150">
        <v>0</v>
      </c>
      <c r="D21" s="150">
        <v>0</v>
      </c>
      <c r="E21" s="150">
        <v>0</v>
      </c>
      <c r="F21" s="150">
        <v>0</v>
      </c>
    </row>
    <row r="22" spans="1:6" x14ac:dyDescent="0.25">
      <c r="A22" s="99">
        <f t="shared" si="0"/>
        <v>21</v>
      </c>
      <c r="B22" s="150">
        <v>-1</v>
      </c>
      <c r="C22" s="150">
        <v>0</v>
      </c>
      <c r="D22" s="150">
        <v>0</v>
      </c>
      <c r="E22" s="150">
        <v>0</v>
      </c>
      <c r="F22" s="150">
        <v>0</v>
      </c>
    </row>
    <row r="23" spans="1:6" x14ac:dyDescent="0.25">
      <c r="A23" s="99">
        <f t="shared" si="0"/>
        <v>22</v>
      </c>
      <c r="B23" s="150">
        <v>-1</v>
      </c>
      <c r="C23" s="150">
        <v>0</v>
      </c>
      <c r="D23" s="150">
        <v>0</v>
      </c>
      <c r="E23" s="150">
        <v>0</v>
      </c>
      <c r="F23" s="150">
        <v>0</v>
      </c>
    </row>
    <row r="24" spans="1:6" x14ac:dyDescent="0.25">
      <c r="A24" s="99">
        <f t="shared" si="0"/>
        <v>23</v>
      </c>
      <c r="B24" s="150">
        <v>-1</v>
      </c>
      <c r="C24" s="150">
        <v>0</v>
      </c>
      <c r="D24" s="150">
        <v>0</v>
      </c>
      <c r="E24" s="150">
        <v>0</v>
      </c>
      <c r="F24" s="150">
        <v>0</v>
      </c>
    </row>
    <row r="25" spans="1:6" x14ac:dyDescent="0.25">
      <c r="A25" s="99">
        <f t="shared" si="0"/>
        <v>24</v>
      </c>
      <c r="B25" s="150">
        <v>-1</v>
      </c>
      <c r="C25" s="150">
        <v>0</v>
      </c>
      <c r="D25" s="150">
        <v>0</v>
      </c>
      <c r="E25" s="150">
        <v>0</v>
      </c>
      <c r="F25" s="150">
        <v>0</v>
      </c>
    </row>
    <row r="26" spans="1:6" x14ac:dyDescent="0.25">
      <c r="A26" s="99">
        <f t="shared" si="0"/>
        <v>25</v>
      </c>
      <c r="B26" s="150">
        <v>-1</v>
      </c>
      <c r="C26" s="150">
        <v>0</v>
      </c>
      <c r="D26" s="150">
        <v>0</v>
      </c>
      <c r="E26" s="150">
        <v>0</v>
      </c>
      <c r="F26" s="150">
        <v>0</v>
      </c>
    </row>
    <row r="27" spans="1:6" x14ac:dyDescent="0.25">
      <c r="A27" s="99">
        <f t="shared" si="0"/>
        <v>26</v>
      </c>
      <c r="B27" s="150">
        <v>-1</v>
      </c>
      <c r="C27" s="150">
        <v>0</v>
      </c>
      <c r="D27" s="150">
        <v>0</v>
      </c>
      <c r="E27" s="150">
        <v>0</v>
      </c>
      <c r="F27" s="150">
        <v>0</v>
      </c>
    </row>
    <row r="28" spans="1:6" x14ac:dyDescent="0.25">
      <c r="A28" s="99">
        <f t="shared" si="0"/>
        <v>27</v>
      </c>
      <c r="B28" s="150">
        <v>-1</v>
      </c>
      <c r="C28" s="150">
        <v>0</v>
      </c>
      <c r="D28" s="150">
        <v>0</v>
      </c>
      <c r="E28" s="150">
        <v>0</v>
      </c>
      <c r="F28" s="150">
        <v>0</v>
      </c>
    </row>
    <row r="29" spans="1:6" x14ac:dyDescent="0.25">
      <c r="A29" s="99">
        <f t="shared" si="0"/>
        <v>28</v>
      </c>
      <c r="B29" s="150">
        <v>-1</v>
      </c>
      <c r="C29" s="150">
        <v>0</v>
      </c>
      <c r="D29" s="150">
        <v>0</v>
      </c>
      <c r="E29" s="150">
        <v>0</v>
      </c>
      <c r="F29" s="150">
        <v>0</v>
      </c>
    </row>
    <row r="30" spans="1:6" x14ac:dyDescent="0.25">
      <c r="A30" s="99">
        <f t="shared" si="0"/>
        <v>29</v>
      </c>
      <c r="B30" s="150">
        <v>-1</v>
      </c>
      <c r="C30" s="150">
        <v>0</v>
      </c>
      <c r="D30" s="150">
        <v>0</v>
      </c>
      <c r="E30" s="150">
        <v>0</v>
      </c>
      <c r="F30" s="150">
        <v>0</v>
      </c>
    </row>
    <row r="31" spans="1:6" x14ac:dyDescent="0.25">
      <c r="A31" s="99">
        <f t="shared" si="0"/>
        <v>30</v>
      </c>
      <c r="B31" s="150">
        <v>1</v>
      </c>
      <c r="C31" s="150">
        <v>14.7</v>
      </c>
      <c r="D31" s="150">
        <v>13.209758180214761</v>
      </c>
      <c r="E31" s="150">
        <v>6.4492083871006347</v>
      </c>
      <c r="F31" s="150">
        <v>0.89862300545678653</v>
      </c>
    </row>
    <row r="32" spans="1:6" x14ac:dyDescent="0.25">
      <c r="A32" s="99">
        <f t="shared" si="0"/>
        <v>31</v>
      </c>
      <c r="B32" s="150">
        <v>2</v>
      </c>
      <c r="C32" s="150">
        <v>0.98</v>
      </c>
      <c r="D32" s="150">
        <v>0.88019406300766967</v>
      </c>
      <c r="E32" s="150">
        <v>0.43088097132044523</v>
      </c>
      <c r="F32" s="150">
        <v>0.89815720715068337</v>
      </c>
    </row>
    <row r="33" spans="1:6" x14ac:dyDescent="0.25">
      <c r="A33" s="99">
        <f t="shared" si="0"/>
        <v>32</v>
      </c>
      <c r="B33" s="150">
        <v>0</v>
      </c>
      <c r="C33" s="150">
        <v>0</v>
      </c>
      <c r="D33" s="150">
        <v>0</v>
      </c>
      <c r="E33" s="150">
        <v>0</v>
      </c>
      <c r="F33" s="150">
        <v>0</v>
      </c>
    </row>
    <row r="34" spans="1:6" x14ac:dyDescent="0.25">
      <c r="A34" s="99">
        <f t="shared" si="0"/>
        <v>33</v>
      </c>
      <c r="B34" s="150">
        <v>1</v>
      </c>
      <c r="C34" s="150">
        <v>2.94</v>
      </c>
      <c r="D34" s="150">
        <v>2.5894785849632362</v>
      </c>
      <c r="E34" s="150">
        <v>1.3921927517469681</v>
      </c>
      <c r="F34" s="150">
        <v>0.88077502889906001</v>
      </c>
    </row>
    <row r="35" spans="1:6" x14ac:dyDescent="0.25">
      <c r="A35" s="99">
        <f t="shared" si="0"/>
        <v>34</v>
      </c>
      <c r="B35" s="150">
        <v>1</v>
      </c>
      <c r="C35" s="150">
        <v>5.88</v>
      </c>
      <c r="D35" s="150">
        <v>5.2969655740650952</v>
      </c>
      <c r="E35" s="150">
        <v>2.5527545332775801</v>
      </c>
      <c r="F35" s="150">
        <v>0.90084448538522033</v>
      </c>
    </row>
    <row r="36" spans="1:6" x14ac:dyDescent="0.25">
      <c r="A36" s="99">
        <f t="shared" si="0"/>
        <v>35</v>
      </c>
      <c r="B36" s="150">
        <v>3</v>
      </c>
      <c r="C36" s="150">
        <v>11.76</v>
      </c>
      <c r="D36" s="150">
        <v>10.136346568598501</v>
      </c>
      <c r="E36" s="150">
        <v>5.9625563512021742</v>
      </c>
      <c r="F36" s="150">
        <v>0.86193423202368213</v>
      </c>
    </row>
    <row r="37" spans="1:6" x14ac:dyDescent="0.25">
      <c r="A37" s="99">
        <f t="shared" si="0"/>
        <v>36</v>
      </c>
      <c r="B37" s="150">
        <v>0</v>
      </c>
      <c r="C37" s="150">
        <v>0</v>
      </c>
      <c r="D37" s="150">
        <v>0</v>
      </c>
      <c r="E37" s="150">
        <v>0</v>
      </c>
      <c r="F37" s="150">
        <v>0</v>
      </c>
    </row>
    <row r="38" spans="1:6" x14ac:dyDescent="0.25">
      <c r="A38" s="99">
        <f t="shared" si="0"/>
        <v>37</v>
      </c>
      <c r="B38" s="150">
        <v>4</v>
      </c>
      <c r="C38" s="150">
        <v>1.96</v>
      </c>
      <c r="D38" s="150">
        <v>1.613497056771489</v>
      </c>
      <c r="E38" s="150">
        <v>1.1127565986278143</v>
      </c>
      <c r="F38" s="150">
        <v>0.8232127840670862</v>
      </c>
    </row>
    <row r="39" spans="1:6" x14ac:dyDescent="0.25">
      <c r="A39" s="99">
        <f t="shared" si="0"/>
        <v>38</v>
      </c>
      <c r="B39" s="150">
        <v>4</v>
      </c>
      <c r="C39" s="150">
        <v>5.88</v>
      </c>
      <c r="D39" s="150">
        <v>5.2358362604687665</v>
      </c>
      <c r="E39" s="150">
        <v>2.6758958599991223</v>
      </c>
      <c r="F39" s="150">
        <v>0.89044834361713721</v>
      </c>
    </row>
    <row r="40" spans="1:6" x14ac:dyDescent="0.25">
      <c r="A40" s="99">
        <f t="shared" si="0"/>
        <v>39</v>
      </c>
      <c r="B40" s="150">
        <v>4</v>
      </c>
      <c r="C40" s="150">
        <v>0.98</v>
      </c>
      <c r="D40" s="150">
        <v>0.84845334665641181</v>
      </c>
      <c r="E40" s="150">
        <v>0.49043543769545711</v>
      </c>
      <c r="F40" s="150">
        <v>0.8657687210779712</v>
      </c>
    </row>
    <row r="41" spans="1:6" x14ac:dyDescent="0.25">
      <c r="A41" s="99">
        <f t="shared" si="0"/>
        <v>40</v>
      </c>
      <c r="B41" s="150">
        <v>4</v>
      </c>
      <c r="C41" s="150">
        <v>4.9000000000000004</v>
      </c>
      <c r="D41" s="150">
        <v>4.4690167281131492</v>
      </c>
      <c r="E41" s="150">
        <v>2.0094500451230051</v>
      </c>
      <c r="F41" s="150">
        <v>0.91204423022717329</v>
      </c>
    </row>
    <row r="42" spans="1:6" x14ac:dyDescent="0.25">
      <c r="A42" s="99">
        <f t="shared" si="0"/>
        <v>41</v>
      </c>
      <c r="B42" s="150">
        <v>1</v>
      </c>
      <c r="C42" s="150">
        <v>1.96</v>
      </c>
      <c r="D42" s="150">
        <v>1.764</v>
      </c>
      <c r="E42" s="150">
        <v>0.85434419293397168</v>
      </c>
      <c r="F42" s="150">
        <v>0.9</v>
      </c>
    </row>
    <row r="43" spans="1:6" x14ac:dyDescent="0.25">
      <c r="A43" s="99">
        <f t="shared" si="0"/>
        <v>42</v>
      </c>
      <c r="B43" s="150">
        <v>0</v>
      </c>
      <c r="C43" s="150">
        <v>0</v>
      </c>
      <c r="D43" s="150">
        <v>0</v>
      </c>
      <c r="E43" s="150">
        <v>0</v>
      </c>
      <c r="F43" s="150">
        <v>0.85</v>
      </c>
    </row>
    <row r="44" spans="1:6" x14ac:dyDescent="0.25">
      <c r="A44" s="99">
        <f t="shared" si="0"/>
        <v>43</v>
      </c>
      <c r="B44" s="150">
        <v>1</v>
      </c>
      <c r="C44" s="150">
        <v>2.94</v>
      </c>
      <c r="D44" s="150">
        <v>2.4990000000000001</v>
      </c>
      <c r="E44" s="150">
        <v>1.5487411016693535</v>
      </c>
      <c r="F44" s="150">
        <v>0.85</v>
      </c>
    </row>
    <row r="45" spans="1:6" x14ac:dyDescent="0.25">
      <c r="A45" s="99">
        <f t="shared" si="0"/>
        <v>44</v>
      </c>
      <c r="B45" s="150">
        <v>3</v>
      </c>
      <c r="C45" s="150">
        <v>1.96</v>
      </c>
      <c r="D45" s="150">
        <v>1.7133482525775934</v>
      </c>
      <c r="E45" s="150">
        <v>0.95186016062723577</v>
      </c>
      <c r="F45" s="150">
        <v>0.87415727172326196</v>
      </c>
    </row>
    <row r="46" spans="1:6" x14ac:dyDescent="0.25">
      <c r="A46" s="99">
        <f t="shared" si="0"/>
        <v>45</v>
      </c>
      <c r="B46" s="150">
        <v>3</v>
      </c>
      <c r="C46" s="150">
        <v>196</v>
      </c>
      <c r="D46" s="150">
        <v>177.785759266545</v>
      </c>
      <c r="E46" s="150">
        <v>82.511961569327084</v>
      </c>
      <c r="F46" s="150">
        <v>0.90707020033951535</v>
      </c>
    </row>
    <row r="47" spans="1:6" x14ac:dyDescent="0.25">
      <c r="A47" s="99">
        <f t="shared" si="0"/>
        <v>46</v>
      </c>
      <c r="B47" s="150">
        <v>1</v>
      </c>
      <c r="C47" s="150">
        <v>3.92</v>
      </c>
      <c r="D47" s="150">
        <v>3.5084827027850198</v>
      </c>
      <c r="E47" s="150">
        <v>1.7484133161979523</v>
      </c>
      <c r="F47" s="150">
        <v>0.89502109764923976</v>
      </c>
    </row>
    <row r="48" spans="1:6" x14ac:dyDescent="0.25">
      <c r="A48" s="99">
        <f t="shared" si="0"/>
        <v>47</v>
      </c>
      <c r="B48" s="150">
        <v>0</v>
      </c>
      <c r="C48" s="150">
        <v>0</v>
      </c>
      <c r="D48" s="150">
        <v>0</v>
      </c>
      <c r="E48" s="150">
        <v>0</v>
      </c>
      <c r="F48" s="150">
        <v>0</v>
      </c>
    </row>
    <row r="49" spans="1:6" x14ac:dyDescent="0.25">
      <c r="A49" s="99">
        <f t="shared" si="0"/>
        <v>48</v>
      </c>
      <c r="B49" s="150">
        <v>1</v>
      </c>
      <c r="C49" s="150">
        <v>2.94</v>
      </c>
      <c r="D49" s="150">
        <v>2.6319935170990791</v>
      </c>
      <c r="E49" s="150">
        <v>1.3100420321304271</v>
      </c>
      <c r="F49" s="150">
        <v>0.8952358901697548</v>
      </c>
    </row>
    <row r="50" spans="1:6" x14ac:dyDescent="0.25">
      <c r="A50" s="99">
        <f t="shared" si="0"/>
        <v>49</v>
      </c>
      <c r="B50" s="150">
        <v>0</v>
      </c>
      <c r="C50" s="150">
        <v>0</v>
      </c>
      <c r="D50" s="150">
        <v>0</v>
      </c>
      <c r="E50" s="150">
        <v>0</v>
      </c>
      <c r="F50" s="150">
        <v>0</v>
      </c>
    </row>
    <row r="51" spans="1:6" x14ac:dyDescent="0.25">
      <c r="A51" s="99">
        <f t="shared" si="0"/>
        <v>50</v>
      </c>
      <c r="B51" s="150">
        <v>0</v>
      </c>
      <c r="C51" s="150">
        <v>0</v>
      </c>
      <c r="D51" s="150">
        <v>0</v>
      </c>
      <c r="E51" s="150">
        <v>0</v>
      </c>
      <c r="F51" s="150">
        <v>0</v>
      </c>
    </row>
    <row r="52" spans="1:6" x14ac:dyDescent="0.25">
      <c r="A52" s="99">
        <f t="shared" si="0"/>
        <v>51</v>
      </c>
      <c r="B52" s="150">
        <v>4</v>
      </c>
      <c r="C52" s="150">
        <v>9.8000000000000007</v>
      </c>
      <c r="D52" s="150">
        <v>9.1140000000000008</v>
      </c>
      <c r="E52" s="150">
        <v>3.6020832860998664</v>
      </c>
      <c r="F52" s="150">
        <v>0.93</v>
      </c>
    </row>
    <row r="53" spans="1:6" x14ac:dyDescent="0.25">
      <c r="A53" s="99">
        <f t="shared" si="0"/>
        <v>52</v>
      </c>
      <c r="B53" s="150">
        <v>1</v>
      </c>
      <c r="C53" s="150">
        <v>4.9000000000000004</v>
      </c>
      <c r="D53" s="150">
        <v>4.3954514907739917</v>
      </c>
      <c r="E53" s="150">
        <v>2.1656422124286134</v>
      </c>
      <c r="F53" s="150">
        <v>0.89703091648448807</v>
      </c>
    </row>
    <row r="54" spans="1:6" x14ac:dyDescent="0.25">
      <c r="A54" s="99">
        <f t="shared" si="0"/>
        <v>53</v>
      </c>
      <c r="B54" s="150">
        <v>1</v>
      </c>
      <c r="C54" s="150">
        <v>2.94</v>
      </c>
      <c r="D54" s="150">
        <v>2.6452185748450479</v>
      </c>
      <c r="E54" s="150">
        <v>1.2831284780935748</v>
      </c>
      <c r="F54" s="150">
        <v>0.89973420913096869</v>
      </c>
    </row>
    <row r="55" spans="1:6" x14ac:dyDescent="0.25">
      <c r="A55" s="99">
        <f t="shared" si="0"/>
        <v>54</v>
      </c>
      <c r="B55" s="150">
        <v>0</v>
      </c>
      <c r="C55" s="150">
        <v>0</v>
      </c>
      <c r="D55" s="150">
        <v>0</v>
      </c>
      <c r="E55" s="150">
        <v>0</v>
      </c>
      <c r="F55" s="150">
        <v>0</v>
      </c>
    </row>
    <row r="56" spans="1:6" x14ac:dyDescent="0.25">
      <c r="A56" s="99">
        <f t="shared" si="0"/>
        <v>55</v>
      </c>
      <c r="B56" s="150">
        <v>0</v>
      </c>
      <c r="C56" s="150">
        <v>0</v>
      </c>
      <c r="D56" s="150">
        <v>0</v>
      </c>
      <c r="E56" s="150">
        <v>0</v>
      </c>
      <c r="F56" s="150">
        <v>0</v>
      </c>
    </row>
    <row r="57" spans="1:6" x14ac:dyDescent="0.25">
      <c r="A57" s="99">
        <f t="shared" si="0"/>
        <v>56</v>
      </c>
      <c r="B57" s="150">
        <v>1</v>
      </c>
      <c r="C57" s="150">
        <v>2.94</v>
      </c>
      <c r="D57" s="150">
        <v>2.6339551631071365</v>
      </c>
      <c r="E57" s="150">
        <v>1.3060934877493482</v>
      </c>
      <c r="F57" s="150">
        <v>0.89590311670310763</v>
      </c>
    </row>
    <row r="58" spans="1:6" x14ac:dyDescent="0.25">
      <c r="A58" s="99">
        <f t="shared" si="0"/>
        <v>57</v>
      </c>
      <c r="B58" s="150">
        <v>0</v>
      </c>
      <c r="C58" s="150">
        <v>0</v>
      </c>
      <c r="D58" s="150">
        <v>0</v>
      </c>
      <c r="E58" s="150">
        <v>0</v>
      </c>
      <c r="F58" s="150">
        <v>0</v>
      </c>
    </row>
    <row r="59" spans="1:6" x14ac:dyDescent="0.25">
      <c r="A59" s="99">
        <f t="shared" si="0"/>
        <v>58</v>
      </c>
      <c r="B59" s="150">
        <v>1</v>
      </c>
      <c r="C59" s="150">
        <v>2.94</v>
      </c>
      <c r="D59" s="150">
        <v>2.6330942592870228</v>
      </c>
      <c r="E59" s="150">
        <v>1.3078282080264685</v>
      </c>
      <c r="F59" s="150">
        <v>0.89561029227449751</v>
      </c>
    </row>
    <row r="60" spans="1:6" x14ac:dyDescent="0.25">
      <c r="A60" s="99">
        <f t="shared" si="0"/>
        <v>59</v>
      </c>
      <c r="B60" s="150">
        <v>1</v>
      </c>
      <c r="C60" s="150">
        <v>34.299999999999997</v>
      </c>
      <c r="D60" s="150">
        <v>30.68065641488116</v>
      </c>
      <c r="E60" s="150">
        <v>15.335818268094185</v>
      </c>
      <c r="F60" s="150">
        <v>0.89447977885950913</v>
      </c>
    </row>
    <row r="61" spans="1:6" x14ac:dyDescent="0.25">
      <c r="A61" s="99">
        <f t="shared" si="0"/>
        <v>60</v>
      </c>
      <c r="B61" s="150">
        <v>0</v>
      </c>
      <c r="C61" s="150">
        <v>0</v>
      </c>
      <c r="D61" s="150">
        <v>0</v>
      </c>
      <c r="E61" s="150">
        <v>0</v>
      </c>
      <c r="F61" s="150">
        <v>0</v>
      </c>
    </row>
    <row r="62" spans="1:6" x14ac:dyDescent="0.25">
      <c r="A62" s="99">
        <f t="shared" si="0"/>
        <v>61</v>
      </c>
      <c r="B62" s="150">
        <v>0</v>
      </c>
      <c r="C62" s="150">
        <v>0</v>
      </c>
      <c r="D62" s="150">
        <v>0</v>
      </c>
      <c r="E62" s="150">
        <v>0</v>
      </c>
      <c r="F62" s="150">
        <v>0</v>
      </c>
    </row>
    <row r="63" spans="1:6" x14ac:dyDescent="0.25">
      <c r="A63" s="99">
        <f t="shared" si="0"/>
        <v>62</v>
      </c>
      <c r="B63" s="150">
        <v>4</v>
      </c>
      <c r="C63" s="150">
        <v>14.7</v>
      </c>
      <c r="D63" s="150">
        <v>13.238799086549852</v>
      </c>
      <c r="E63" s="150">
        <v>6.3893817185989743</v>
      </c>
      <c r="F63" s="150">
        <v>0.90059857731631654</v>
      </c>
    </row>
    <row r="64" spans="1:6" x14ac:dyDescent="0.25">
      <c r="A64" s="99">
        <f t="shared" si="0"/>
        <v>63</v>
      </c>
      <c r="B64" s="150">
        <v>4</v>
      </c>
      <c r="C64" s="150">
        <v>39.200000000000003</v>
      </c>
      <c r="D64" s="150">
        <v>35.294328848862072</v>
      </c>
      <c r="E64" s="150">
        <v>17.057266812370113</v>
      </c>
      <c r="F64" s="150">
        <v>0.90036553185872625</v>
      </c>
    </row>
    <row r="65" spans="1:6" x14ac:dyDescent="0.25">
      <c r="A65" s="99">
        <f t="shared" si="0"/>
        <v>64</v>
      </c>
      <c r="B65" s="150">
        <v>4</v>
      </c>
      <c r="C65" s="150">
        <v>29.4</v>
      </c>
      <c r="D65" s="150">
        <v>26.404234698184428</v>
      </c>
      <c r="E65" s="150">
        <v>12.929670916275995</v>
      </c>
      <c r="F65" s="150">
        <v>0.89810322102668128</v>
      </c>
    </row>
    <row r="66" spans="1:6" x14ac:dyDescent="0.25">
      <c r="A66" s="99">
        <f t="shared" si="0"/>
        <v>65</v>
      </c>
      <c r="B66" s="150">
        <v>2</v>
      </c>
      <c r="C66" s="150">
        <v>4.9000000000000004</v>
      </c>
      <c r="D66" s="150">
        <v>4.4198678664297795</v>
      </c>
      <c r="E66" s="150">
        <v>2.1153647541976004</v>
      </c>
      <c r="F66" s="150">
        <v>0.90201385029179171</v>
      </c>
    </row>
    <row r="67" spans="1:6" x14ac:dyDescent="0.25">
      <c r="A67" s="99">
        <f t="shared" si="0"/>
        <v>66</v>
      </c>
      <c r="B67" s="150">
        <v>1</v>
      </c>
      <c r="C67" s="150">
        <v>2.94</v>
      </c>
      <c r="D67" s="150">
        <v>2.6382089389454553</v>
      </c>
      <c r="E67" s="150">
        <v>1.2974797086923149</v>
      </c>
      <c r="F67" s="150">
        <v>0.89734997923314808</v>
      </c>
    </row>
    <row r="68" spans="1:6" x14ac:dyDescent="0.25">
      <c r="A68" s="99">
        <f t="shared" ref="A68:A131" si="1">A67+1</f>
        <v>67</v>
      </c>
      <c r="B68" s="150">
        <v>1</v>
      </c>
      <c r="C68" s="150">
        <v>2.94</v>
      </c>
      <c r="D68" s="150">
        <v>2.6325184152281862</v>
      </c>
      <c r="E68" s="150">
        <v>1.3089869340388689</v>
      </c>
      <c r="F68" s="150">
        <v>0.89541442694836271</v>
      </c>
    </row>
    <row r="69" spans="1:6" x14ac:dyDescent="0.25">
      <c r="A69" s="99">
        <f t="shared" si="1"/>
        <v>68</v>
      </c>
      <c r="B69" s="150">
        <v>0</v>
      </c>
      <c r="C69" s="150">
        <v>0</v>
      </c>
      <c r="D69" s="150">
        <v>0</v>
      </c>
      <c r="E69" s="150">
        <v>0</v>
      </c>
      <c r="F69" s="150">
        <v>0</v>
      </c>
    </row>
    <row r="70" spans="1:6" x14ac:dyDescent="0.25">
      <c r="A70" s="99">
        <f t="shared" si="1"/>
        <v>69</v>
      </c>
      <c r="B70" s="150">
        <v>0</v>
      </c>
      <c r="C70" s="150">
        <v>0</v>
      </c>
      <c r="D70" s="150">
        <v>0</v>
      </c>
      <c r="E70" s="150">
        <v>0</v>
      </c>
      <c r="F70" s="150">
        <v>0</v>
      </c>
    </row>
    <row r="71" spans="1:6" x14ac:dyDescent="0.25">
      <c r="A71" s="99">
        <f t="shared" si="1"/>
        <v>70</v>
      </c>
      <c r="B71" s="150">
        <v>2</v>
      </c>
      <c r="C71" s="150">
        <v>3.92</v>
      </c>
      <c r="D71" s="150">
        <v>3.5160028497161337</v>
      </c>
      <c r="E71" s="150">
        <v>1.7332408836592867</v>
      </c>
      <c r="F71" s="150">
        <v>0.89693950247860554</v>
      </c>
    </row>
    <row r="72" spans="1:6" x14ac:dyDescent="0.25">
      <c r="A72" s="99">
        <f t="shared" si="1"/>
        <v>71</v>
      </c>
      <c r="B72" s="150">
        <v>1</v>
      </c>
      <c r="C72" s="150">
        <v>9.8000000000000007</v>
      </c>
      <c r="D72" s="150">
        <v>8.7494368255528343</v>
      </c>
      <c r="E72" s="150">
        <v>4.4144484633598298</v>
      </c>
      <c r="F72" s="150">
        <v>0.89279967607681976</v>
      </c>
    </row>
    <row r="73" spans="1:6" x14ac:dyDescent="0.25">
      <c r="A73" s="99">
        <f t="shared" si="1"/>
        <v>72</v>
      </c>
      <c r="B73" s="150">
        <v>0</v>
      </c>
      <c r="C73" s="150">
        <v>0</v>
      </c>
      <c r="D73" s="150">
        <v>0</v>
      </c>
      <c r="E73" s="150">
        <v>0</v>
      </c>
      <c r="F73" s="150">
        <v>0</v>
      </c>
    </row>
    <row r="74" spans="1:6" x14ac:dyDescent="0.25">
      <c r="A74" s="99">
        <f t="shared" si="1"/>
        <v>73</v>
      </c>
      <c r="B74" s="150">
        <v>1</v>
      </c>
      <c r="C74" s="150">
        <v>4.9000000000000004</v>
      </c>
      <c r="D74" s="150">
        <v>4.3899253163658072</v>
      </c>
      <c r="E74" s="150">
        <v>2.1768223897990788</v>
      </c>
      <c r="F74" s="150">
        <v>0.89590312578894016</v>
      </c>
    </row>
    <row r="75" spans="1:6" x14ac:dyDescent="0.25">
      <c r="A75" s="99">
        <f t="shared" si="1"/>
        <v>74</v>
      </c>
      <c r="B75" s="150">
        <v>0</v>
      </c>
      <c r="C75" s="150">
        <v>0</v>
      </c>
      <c r="D75" s="150">
        <v>0</v>
      </c>
      <c r="E75" s="150">
        <v>0</v>
      </c>
      <c r="F75" s="150">
        <v>0</v>
      </c>
    </row>
    <row r="76" spans="1:6" x14ac:dyDescent="0.25">
      <c r="A76" s="99">
        <f t="shared" si="1"/>
        <v>75</v>
      </c>
      <c r="B76" s="150">
        <v>1</v>
      </c>
      <c r="C76" s="150">
        <v>2.94</v>
      </c>
      <c r="D76" s="150">
        <v>2.6215829499144099</v>
      </c>
      <c r="E76" s="150">
        <v>1.3307527331243996</v>
      </c>
      <c r="F76" s="150">
        <v>0.89169488092326865</v>
      </c>
    </row>
    <row r="77" spans="1:6" x14ac:dyDescent="0.25">
      <c r="A77" s="99">
        <f t="shared" si="1"/>
        <v>76</v>
      </c>
      <c r="B77" s="150">
        <v>1</v>
      </c>
      <c r="C77" s="150">
        <v>3.92</v>
      </c>
      <c r="D77" s="150">
        <v>3.5218988284250279</v>
      </c>
      <c r="E77" s="150">
        <v>1.7212288175424015</v>
      </c>
      <c r="F77" s="150">
        <v>0.89844357867985403</v>
      </c>
    </row>
    <row r="78" spans="1:6" x14ac:dyDescent="0.25">
      <c r="A78" s="99">
        <f t="shared" si="1"/>
        <v>77</v>
      </c>
      <c r="B78" s="150">
        <v>1</v>
      </c>
      <c r="C78" s="150">
        <v>2.94</v>
      </c>
      <c r="D78" s="150">
        <v>2.634345366284542</v>
      </c>
      <c r="E78" s="150">
        <v>1.3053062825004567</v>
      </c>
      <c r="F78" s="150">
        <v>0.89603583887229321</v>
      </c>
    </row>
    <row r="79" spans="1:6" x14ac:dyDescent="0.25">
      <c r="A79" s="99">
        <f t="shared" si="1"/>
        <v>78</v>
      </c>
      <c r="B79" s="150">
        <v>0</v>
      </c>
      <c r="C79" s="150">
        <v>0</v>
      </c>
      <c r="D79" s="150">
        <v>0</v>
      </c>
      <c r="E79" s="150">
        <v>0</v>
      </c>
      <c r="F79" s="150">
        <v>0</v>
      </c>
    </row>
    <row r="80" spans="1:6" x14ac:dyDescent="0.25">
      <c r="A80" s="99">
        <f t="shared" si="1"/>
        <v>79</v>
      </c>
      <c r="B80" s="150">
        <v>0</v>
      </c>
      <c r="C80" s="150">
        <v>0</v>
      </c>
      <c r="D80" s="150">
        <v>0</v>
      </c>
      <c r="E80" s="150">
        <v>0</v>
      </c>
      <c r="F80" s="150">
        <v>0</v>
      </c>
    </row>
    <row r="81" spans="1:6" x14ac:dyDescent="0.25">
      <c r="A81" s="99">
        <f t="shared" si="1"/>
        <v>80</v>
      </c>
      <c r="B81" s="150">
        <v>1</v>
      </c>
      <c r="C81" s="150">
        <v>4.9000000000000004</v>
      </c>
      <c r="D81" s="150">
        <v>4.3826932352734884</v>
      </c>
      <c r="E81" s="150">
        <v>2.1913466192019939</v>
      </c>
      <c r="F81" s="150">
        <v>0.8944271908721404</v>
      </c>
    </row>
    <row r="82" spans="1:6" x14ac:dyDescent="0.25">
      <c r="A82" s="99">
        <f t="shared" si="1"/>
        <v>81</v>
      </c>
      <c r="B82" s="150">
        <v>0</v>
      </c>
      <c r="C82" s="150">
        <v>0</v>
      </c>
      <c r="D82" s="150">
        <v>0</v>
      </c>
      <c r="E82" s="150">
        <v>0</v>
      </c>
      <c r="F82" s="150">
        <v>0</v>
      </c>
    </row>
    <row r="83" spans="1:6" x14ac:dyDescent="0.25">
      <c r="A83" s="99">
        <f t="shared" si="1"/>
        <v>82</v>
      </c>
      <c r="B83" s="150">
        <v>1</v>
      </c>
      <c r="C83" s="150">
        <v>5.88</v>
      </c>
      <c r="D83" s="150">
        <v>5.2390574665590277</v>
      </c>
      <c r="E83" s="150">
        <v>2.669583649577608</v>
      </c>
      <c r="F83" s="150">
        <v>0.89099616778214763</v>
      </c>
    </row>
    <row r="84" spans="1:6" x14ac:dyDescent="0.25">
      <c r="A84" s="99">
        <f t="shared" si="1"/>
        <v>83</v>
      </c>
      <c r="B84" s="150">
        <v>2</v>
      </c>
      <c r="C84" s="150">
        <v>0.98</v>
      </c>
      <c r="D84" s="150">
        <v>0.80359999999999998</v>
      </c>
      <c r="E84" s="150">
        <v>0.56091625043316407</v>
      </c>
      <c r="F84" s="150">
        <v>0.82</v>
      </c>
    </row>
    <row r="85" spans="1:6" x14ac:dyDescent="0.25">
      <c r="A85" s="99">
        <f t="shared" si="1"/>
        <v>84</v>
      </c>
      <c r="B85" s="150">
        <v>3</v>
      </c>
      <c r="C85" s="150">
        <v>24.5</v>
      </c>
      <c r="D85" s="150">
        <v>21.908145995929964</v>
      </c>
      <c r="E85" s="150">
        <v>10.967367004938692</v>
      </c>
      <c r="F85" s="150">
        <v>0.8942100406502026</v>
      </c>
    </row>
    <row r="86" spans="1:6" x14ac:dyDescent="0.25">
      <c r="A86" s="99">
        <f t="shared" si="1"/>
        <v>85</v>
      </c>
      <c r="B86" s="150">
        <v>1</v>
      </c>
      <c r="C86" s="150">
        <v>0.98</v>
      </c>
      <c r="D86" s="150">
        <v>0.87506302037717987</v>
      </c>
      <c r="E86" s="150">
        <v>0.44120823923445401</v>
      </c>
      <c r="F86" s="150">
        <v>0.89292144936446927</v>
      </c>
    </row>
    <row r="87" spans="1:6" x14ac:dyDescent="0.25">
      <c r="A87" s="99">
        <f t="shared" si="1"/>
        <v>86</v>
      </c>
      <c r="B87" s="150">
        <v>1</v>
      </c>
      <c r="C87" s="150">
        <v>4.9000000000000004</v>
      </c>
      <c r="D87" s="150">
        <v>4.3826932355489729</v>
      </c>
      <c r="E87" s="150">
        <v>2.1913466186510244</v>
      </c>
      <c r="F87" s="150">
        <v>0.89442719092836176</v>
      </c>
    </row>
    <row r="88" spans="1:6" x14ac:dyDescent="0.25">
      <c r="A88" s="99">
        <f t="shared" si="1"/>
        <v>87</v>
      </c>
      <c r="B88" s="150">
        <v>0</v>
      </c>
      <c r="C88" s="150">
        <v>0</v>
      </c>
      <c r="D88" s="150">
        <v>0</v>
      </c>
      <c r="E88" s="150">
        <v>0</v>
      </c>
      <c r="F88" s="150">
        <v>0</v>
      </c>
    </row>
    <row r="89" spans="1:6" x14ac:dyDescent="0.25">
      <c r="A89" s="99">
        <f t="shared" si="1"/>
        <v>88</v>
      </c>
      <c r="B89" s="150">
        <v>3</v>
      </c>
      <c r="C89" s="150">
        <v>35.28</v>
      </c>
      <c r="D89" s="150">
        <v>31.829440876114507</v>
      </c>
      <c r="E89" s="150">
        <v>15.217263009947976</v>
      </c>
      <c r="F89" s="150">
        <v>0.90219503617104613</v>
      </c>
    </row>
    <row r="90" spans="1:6" x14ac:dyDescent="0.25">
      <c r="A90" s="99">
        <f t="shared" si="1"/>
        <v>89</v>
      </c>
      <c r="B90" s="150">
        <v>3</v>
      </c>
      <c r="C90" s="150">
        <v>11.76</v>
      </c>
      <c r="D90" s="150">
        <v>10.539250846163014</v>
      </c>
      <c r="E90" s="150">
        <v>5.2174506803277181</v>
      </c>
      <c r="F90" s="150">
        <v>0.8961947998437938</v>
      </c>
    </row>
    <row r="91" spans="1:6" x14ac:dyDescent="0.25">
      <c r="A91" s="99">
        <f t="shared" si="1"/>
        <v>90</v>
      </c>
      <c r="B91" s="150">
        <v>3</v>
      </c>
      <c r="C91" s="150">
        <v>17.64</v>
      </c>
      <c r="D91" s="150">
        <v>15.822920247900315</v>
      </c>
      <c r="E91" s="150">
        <v>7.797742931681336</v>
      </c>
      <c r="F91" s="150">
        <v>0.89699094375852129</v>
      </c>
    </row>
    <row r="92" spans="1:6" x14ac:dyDescent="0.25">
      <c r="A92" s="99">
        <f t="shared" si="1"/>
        <v>91</v>
      </c>
      <c r="B92" s="150">
        <v>0</v>
      </c>
      <c r="C92" s="150">
        <v>0</v>
      </c>
      <c r="D92" s="150">
        <v>0</v>
      </c>
      <c r="E92" s="150">
        <v>0</v>
      </c>
      <c r="F92" s="150">
        <v>0</v>
      </c>
    </row>
    <row r="93" spans="1:6" x14ac:dyDescent="0.25">
      <c r="A93" s="99">
        <f t="shared" si="1"/>
        <v>92</v>
      </c>
      <c r="B93" s="150">
        <v>0</v>
      </c>
      <c r="C93" s="150">
        <v>0</v>
      </c>
      <c r="D93" s="150">
        <v>0</v>
      </c>
      <c r="E93" s="150">
        <v>0</v>
      </c>
      <c r="F93" s="150">
        <v>0</v>
      </c>
    </row>
    <row r="94" spans="1:6" x14ac:dyDescent="0.25">
      <c r="A94" s="99">
        <f t="shared" si="1"/>
        <v>93</v>
      </c>
      <c r="B94" s="150">
        <v>3</v>
      </c>
      <c r="C94" s="150">
        <v>215.6</v>
      </c>
      <c r="D94" s="150">
        <v>193.35041065447194</v>
      </c>
      <c r="E94" s="150">
        <v>95.388566923646906</v>
      </c>
      <c r="F94" s="150">
        <v>0.89680153364782911</v>
      </c>
    </row>
    <row r="95" spans="1:6" x14ac:dyDescent="0.25">
      <c r="A95" s="99">
        <f t="shared" si="1"/>
        <v>94</v>
      </c>
      <c r="B95" s="150">
        <v>3</v>
      </c>
      <c r="C95" s="150">
        <v>147</v>
      </c>
      <c r="D95" s="150">
        <v>131.95183121635765</v>
      </c>
      <c r="E95" s="150">
        <v>64.789769552375034</v>
      </c>
      <c r="F95" s="150">
        <v>0.89763150487318122</v>
      </c>
    </row>
    <row r="96" spans="1:6" x14ac:dyDescent="0.25">
      <c r="A96" s="99">
        <f t="shared" si="1"/>
        <v>95</v>
      </c>
      <c r="B96" s="150">
        <v>1</v>
      </c>
      <c r="C96" s="150">
        <v>3.92</v>
      </c>
      <c r="D96" s="150">
        <v>3.5194775796262001</v>
      </c>
      <c r="E96" s="150">
        <v>1.7261742572835754</v>
      </c>
      <c r="F96" s="150">
        <v>0.89782591316994897</v>
      </c>
    </row>
    <row r="97" spans="1:6" x14ac:dyDescent="0.25">
      <c r="A97" s="99">
        <f t="shared" si="1"/>
        <v>96</v>
      </c>
      <c r="B97" s="150">
        <v>0</v>
      </c>
      <c r="C97" s="150">
        <v>0</v>
      </c>
      <c r="D97" s="150">
        <v>0</v>
      </c>
      <c r="E97" s="150">
        <v>0</v>
      </c>
      <c r="F97" s="150">
        <v>0</v>
      </c>
    </row>
    <row r="98" spans="1:6" x14ac:dyDescent="0.25">
      <c r="A98" s="99">
        <f t="shared" si="1"/>
        <v>97</v>
      </c>
      <c r="B98" s="150">
        <v>2</v>
      </c>
      <c r="C98" s="150">
        <v>0.98</v>
      </c>
      <c r="D98" s="150">
        <v>0.89661944625756218</v>
      </c>
      <c r="E98" s="150">
        <v>0.39556740082163333</v>
      </c>
      <c r="F98" s="150">
        <v>0.91491780230363484</v>
      </c>
    </row>
    <row r="99" spans="1:6" x14ac:dyDescent="0.25">
      <c r="A99" s="99">
        <f t="shared" si="1"/>
        <v>98</v>
      </c>
      <c r="B99" s="150">
        <v>1</v>
      </c>
      <c r="C99" s="150">
        <v>1.96</v>
      </c>
      <c r="D99" s="150">
        <v>1.7588059451794025</v>
      </c>
      <c r="E99" s="150">
        <v>0.86498650116726572</v>
      </c>
      <c r="F99" s="150">
        <v>0.89734997203030742</v>
      </c>
    </row>
    <row r="100" spans="1:6" x14ac:dyDescent="0.25">
      <c r="A100" s="99">
        <f t="shared" si="1"/>
        <v>99</v>
      </c>
      <c r="B100" s="150">
        <v>1</v>
      </c>
      <c r="C100" s="150">
        <v>9.8000000000000007</v>
      </c>
      <c r="D100" s="150">
        <v>8.8996024875429161</v>
      </c>
      <c r="E100" s="150">
        <v>4.1033005695074261</v>
      </c>
      <c r="F100" s="150">
        <v>0.90812270281050156</v>
      </c>
    </row>
    <row r="101" spans="1:6" x14ac:dyDescent="0.25">
      <c r="A101" s="99">
        <f t="shared" si="1"/>
        <v>100</v>
      </c>
      <c r="B101" s="150">
        <v>1</v>
      </c>
      <c r="C101" s="150">
        <v>2.94</v>
      </c>
      <c r="D101" s="150">
        <v>2.6764774374905</v>
      </c>
      <c r="E101" s="150">
        <v>1.2165806699945079</v>
      </c>
      <c r="F101" s="150">
        <v>0.91036647533690485</v>
      </c>
    </row>
    <row r="102" spans="1:6" x14ac:dyDescent="0.25">
      <c r="A102" s="99">
        <f t="shared" si="1"/>
        <v>101</v>
      </c>
      <c r="B102" s="150">
        <v>1</v>
      </c>
      <c r="C102" s="150">
        <v>7.84</v>
      </c>
      <c r="D102" s="150">
        <v>7.0441379974811724</v>
      </c>
      <c r="E102" s="150">
        <v>3.4417611585410648</v>
      </c>
      <c r="F102" s="150">
        <v>0.89848698947463934</v>
      </c>
    </row>
    <row r="103" spans="1:6" x14ac:dyDescent="0.25">
      <c r="A103" s="99">
        <f t="shared" si="1"/>
        <v>102</v>
      </c>
      <c r="B103" s="150">
        <v>1</v>
      </c>
      <c r="C103" s="150">
        <v>6.8599999999999994</v>
      </c>
      <c r="D103" s="150">
        <v>6.1641041735306796</v>
      </c>
      <c r="E103" s="150">
        <v>3.0105514009665479</v>
      </c>
      <c r="F103" s="150">
        <v>0.89855745969834988</v>
      </c>
    </row>
    <row r="104" spans="1:6" x14ac:dyDescent="0.25">
      <c r="A104" s="99">
        <f t="shared" si="1"/>
        <v>103</v>
      </c>
      <c r="B104" s="150">
        <v>1</v>
      </c>
      <c r="C104" s="150">
        <v>4.9000000000000004</v>
      </c>
      <c r="D104" s="150">
        <v>4.0671266854741752</v>
      </c>
      <c r="E104" s="150">
        <v>2.7328520860639078</v>
      </c>
      <c r="F104" s="150">
        <v>0.83002585417840302</v>
      </c>
    </row>
    <row r="105" spans="1:6" x14ac:dyDescent="0.25">
      <c r="A105" s="99">
        <f t="shared" si="1"/>
        <v>104</v>
      </c>
      <c r="B105" s="150">
        <v>1</v>
      </c>
      <c r="C105" s="150">
        <v>67.62</v>
      </c>
      <c r="D105" s="150">
        <v>66.977966885609163</v>
      </c>
      <c r="E105" s="150">
        <v>9.2960395798556856</v>
      </c>
      <c r="F105" s="150">
        <v>0.99050527781143383</v>
      </c>
    </row>
    <row r="106" spans="1:6" x14ac:dyDescent="0.25">
      <c r="A106" s="99">
        <f t="shared" si="1"/>
        <v>105</v>
      </c>
      <c r="B106" s="150">
        <v>1</v>
      </c>
      <c r="C106" s="150">
        <v>3.92</v>
      </c>
      <c r="D106" s="150">
        <v>3.5522378744172105</v>
      </c>
      <c r="E106" s="150">
        <v>1.6577110977356388</v>
      </c>
      <c r="F106" s="150">
        <v>0.90618313122888028</v>
      </c>
    </row>
    <row r="107" spans="1:6" x14ac:dyDescent="0.25">
      <c r="A107" s="99">
        <f t="shared" si="1"/>
        <v>106</v>
      </c>
      <c r="B107" s="150">
        <v>2</v>
      </c>
      <c r="C107" s="150">
        <v>0.98</v>
      </c>
      <c r="D107" s="150">
        <v>0.90175153463556801</v>
      </c>
      <c r="E107" s="150">
        <v>0.38372408027435279</v>
      </c>
      <c r="F107" s="150">
        <v>0.92015462717915109</v>
      </c>
    </row>
    <row r="108" spans="1:6" x14ac:dyDescent="0.25">
      <c r="A108" s="99">
        <f t="shared" si="1"/>
        <v>107</v>
      </c>
      <c r="B108" s="150">
        <v>1</v>
      </c>
      <c r="C108" s="150">
        <v>2.94</v>
      </c>
      <c r="D108" s="150">
        <v>2.6348126797027747</v>
      </c>
      <c r="E108" s="150">
        <v>1.304362734394648</v>
      </c>
      <c r="F108" s="150">
        <v>0.89619478901454919</v>
      </c>
    </row>
    <row r="109" spans="1:6" x14ac:dyDescent="0.25">
      <c r="A109" s="99">
        <f t="shared" si="1"/>
        <v>108</v>
      </c>
      <c r="B109" s="150">
        <v>2</v>
      </c>
      <c r="C109" s="150">
        <v>2.94</v>
      </c>
      <c r="D109" s="150">
        <v>2.6464682219797133</v>
      </c>
      <c r="E109" s="150">
        <v>1.2805490814691698</v>
      </c>
      <c r="F109" s="150">
        <v>0.90015925917677331</v>
      </c>
    </row>
    <row r="110" spans="1:6" x14ac:dyDescent="0.25">
      <c r="A110" s="99">
        <f t="shared" si="1"/>
        <v>109</v>
      </c>
      <c r="B110" s="150">
        <v>2</v>
      </c>
      <c r="C110" s="150">
        <v>0.98</v>
      </c>
      <c r="D110" s="150">
        <v>0.88269381730168472</v>
      </c>
      <c r="E110" s="150">
        <v>0.42573656748907535</v>
      </c>
      <c r="F110" s="150">
        <v>0.90070797683845383</v>
      </c>
    </row>
    <row r="111" spans="1:6" x14ac:dyDescent="0.25">
      <c r="A111" s="99">
        <f t="shared" si="1"/>
        <v>110</v>
      </c>
      <c r="B111" s="150">
        <v>2</v>
      </c>
      <c r="C111" s="150">
        <v>0.98</v>
      </c>
      <c r="D111" s="150">
        <v>0.88242546761541796</v>
      </c>
      <c r="E111" s="150">
        <v>0.42629249829631161</v>
      </c>
      <c r="F111" s="150">
        <v>0.90043415062797749</v>
      </c>
    </row>
    <row r="112" spans="1:6" x14ac:dyDescent="0.25">
      <c r="A112" s="99">
        <f t="shared" si="1"/>
        <v>111</v>
      </c>
      <c r="B112" s="150">
        <v>2</v>
      </c>
      <c r="C112" s="150">
        <v>0.98</v>
      </c>
      <c r="D112" s="150">
        <v>0.88322738016106661</v>
      </c>
      <c r="E112" s="150">
        <v>0.42462853758764091</v>
      </c>
      <c r="F112" s="150">
        <v>0.90125242873578226</v>
      </c>
    </row>
    <row r="113" spans="1:6" x14ac:dyDescent="0.25">
      <c r="A113" s="99">
        <f t="shared" si="1"/>
        <v>112</v>
      </c>
      <c r="B113" s="150">
        <v>0</v>
      </c>
      <c r="C113" s="150">
        <v>0</v>
      </c>
      <c r="D113" s="150">
        <v>0</v>
      </c>
      <c r="E113" s="150">
        <v>0</v>
      </c>
      <c r="F113" s="150">
        <v>0</v>
      </c>
    </row>
    <row r="114" spans="1:6" x14ac:dyDescent="0.25">
      <c r="A114" s="99">
        <f t="shared" si="1"/>
        <v>113</v>
      </c>
      <c r="B114" s="150">
        <v>1</v>
      </c>
      <c r="C114" s="150">
        <v>12.74</v>
      </c>
      <c r="D114" s="150">
        <v>11.492259435196202</v>
      </c>
      <c r="E114" s="150">
        <v>5.4986883048727089</v>
      </c>
      <c r="F114" s="150">
        <v>0.90206118015668768</v>
      </c>
    </row>
    <row r="115" spans="1:6" x14ac:dyDescent="0.25">
      <c r="A115" s="99">
        <f t="shared" si="1"/>
        <v>114</v>
      </c>
      <c r="B115" s="150">
        <v>1</v>
      </c>
      <c r="C115" s="150">
        <v>16.66</v>
      </c>
      <c r="D115" s="150">
        <v>14.926962756547473</v>
      </c>
      <c r="E115" s="150">
        <v>7.3987419785153135</v>
      </c>
      <c r="F115" s="150">
        <v>0.89597615585519041</v>
      </c>
    </row>
    <row r="116" spans="1:6" x14ac:dyDescent="0.25">
      <c r="A116" s="99">
        <f t="shared" si="1"/>
        <v>115</v>
      </c>
      <c r="B116" s="150">
        <v>1</v>
      </c>
      <c r="C116" s="150">
        <v>14.7</v>
      </c>
      <c r="D116" s="150">
        <v>13.275381872385257</v>
      </c>
      <c r="E116" s="150">
        <v>6.3130211580783477</v>
      </c>
      <c r="F116" s="150">
        <v>0.9030872022030787</v>
      </c>
    </row>
    <row r="117" spans="1:6" x14ac:dyDescent="0.25">
      <c r="A117" s="99">
        <f t="shared" si="1"/>
        <v>116</v>
      </c>
      <c r="B117" s="150">
        <v>1</v>
      </c>
      <c r="C117" s="150">
        <v>4.9000000000000004</v>
      </c>
      <c r="D117" s="150">
        <v>4.3677871643742732</v>
      </c>
      <c r="E117" s="150">
        <v>2.2209086624008991</v>
      </c>
      <c r="F117" s="150">
        <v>0.89138513558658627</v>
      </c>
    </row>
    <row r="118" spans="1:6" x14ac:dyDescent="0.25">
      <c r="A118" s="99">
        <f t="shared" si="1"/>
        <v>117</v>
      </c>
      <c r="B118" s="150">
        <v>1</v>
      </c>
      <c r="C118" s="150">
        <v>5.88</v>
      </c>
      <c r="D118" s="150">
        <v>5.2592318834422107</v>
      </c>
      <c r="E118" s="150">
        <v>2.6296159408143414</v>
      </c>
      <c r="F118" s="150">
        <v>0.89442719106160051</v>
      </c>
    </row>
    <row r="119" spans="1:6" x14ac:dyDescent="0.25">
      <c r="A119" s="99">
        <f t="shared" si="1"/>
        <v>118</v>
      </c>
      <c r="B119" s="150">
        <v>1</v>
      </c>
      <c r="C119" s="150">
        <v>30.38</v>
      </c>
      <c r="D119" s="150">
        <v>27.411585761493459</v>
      </c>
      <c r="E119" s="150">
        <v>13.097685522270298</v>
      </c>
      <c r="F119" s="150">
        <v>0.90229051222822454</v>
      </c>
    </row>
    <row r="120" spans="1:6" x14ac:dyDescent="0.25">
      <c r="A120" s="99">
        <f t="shared" si="1"/>
        <v>119</v>
      </c>
      <c r="B120" s="150">
        <v>4</v>
      </c>
      <c r="C120" s="150">
        <v>15.68</v>
      </c>
      <c r="D120" s="150">
        <v>14.088275880546513</v>
      </c>
      <c r="E120" s="150">
        <v>6.8835225512531979</v>
      </c>
      <c r="F120" s="150">
        <v>0.89848698217771128</v>
      </c>
    </row>
    <row r="121" spans="1:6" x14ac:dyDescent="0.25">
      <c r="A121" s="99">
        <f t="shared" si="1"/>
        <v>120</v>
      </c>
      <c r="B121" s="150">
        <v>4</v>
      </c>
      <c r="C121" s="150">
        <v>5.88</v>
      </c>
      <c r="D121" s="150">
        <v>5.2730351059501945</v>
      </c>
      <c r="E121" s="150">
        <v>2.6018264299174185</v>
      </c>
      <c r="F121" s="150">
        <v>0.89677467788268617</v>
      </c>
    </row>
    <row r="122" spans="1:6" x14ac:dyDescent="0.25">
      <c r="A122" s="99">
        <f t="shared" si="1"/>
        <v>121</v>
      </c>
      <c r="B122" s="150">
        <v>1</v>
      </c>
      <c r="C122" s="150">
        <v>2.94</v>
      </c>
      <c r="D122" s="150">
        <v>2.639259204466728</v>
      </c>
      <c r="E122" s="150">
        <v>1.2953419825041006</v>
      </c>
      <c r="F122" s="150">
        <v>0.89770721240364904</v>
      </c>
    </row>
    <row r="123" spans="1:6" x14ac:dyDescent="0.25">
      <c r="A123" s="99">
        <f t="shared" si="1"/>
        <v>122</v>
      </c>
      <c r="B123" s="150">
        <v>1</v>
      </c>
      <c r="C123" s="150">
        <v>6.8599999999999994</v>
      </c>
      <c r="D123" s="150">
        <v>6.167248775287141</v>
      </c>
      <c r="E123" s="150">
        <v>3.0041042830965869</v>
      </c>
      <c r="F123" s="150">
        <v>0.89901585645585147</v>
      </c>
    </row>
    <row r="124" spans="1:6" x14ac:dyDescent="0.25">
      <c r="A124" s="99">
        <f t="shared" si="1"/>
        <v>123</v>
      </c>
      <c r="B124" s="150">
        <v>4</v>
      </c>
      <c r="C124" s="150">
        <v>35.28</v>
      </c>
      <c r="D124" s="150">
        <v>31.598071575617048</v>
      </c>
      <c r="E124" s="150">
        <v>15.692044885934465</v>
      </c>
      <c r="F124" s="150">
        <v>0.89563694942225192</v>
      </c>
    </row>
    <row r="125" spans="1:6" x14ac:dyDescent="0.25">
      <c r="A125" s="99">
        <f t="shared" si="1"/>
        <v>124</v>
      </c>
      <c r="B125" s="150">
        <v>1</v>
      </c>
      <c r="C125" s="150">
        <v>2.94</v>
      </c>
      <c r="D125" s="150">
        <v>2.6484827632762027</v>
      </c>
      <c r="E125" s="150">
        <v>1.2763773159332037</v>
      </c>
      <c r="F125" s="150">
        <v>0.90084447730483086</v>
      </c>
    </row>
    <row r="126" spans="1:6" x14ac:dyDescent="0.25">
      <c r="A126" s="99">
        <f t="shared" si="1"/>
        <v>125</v>
      </c>
      <c r="B126" s="150">
        <v>1</v>
      </c>
      <c r="C126" s="150">
        <v>3.92</v>
      </c>
      <c r="D126" s="150">
        <v>3.5646363520761213</v>
      </c>
      <c r="E126" s="150">
        <v>1.6308794184296536</v>
      </c>
      <c r="F126" s="150">
        <v>0.90934600818268396</v>
      </c>
    </row>
    <row r="127" spans="1:6" x14ac:dyDescent="0.25">
      <c r="A127" s="99">
        <f t="shared" si="1"/>
        <v>126</v>
      </c>
      <c r="B127" s="150">
        <v>1</v>
      </c>
      <c r="C127" s="150">
        <v>11.76</v>
      </c>
      <c r="D127" s="150">
        <v>10.591741267530177</v>
      </c>
      <c r="E127" s="150">
        <v>5.1100505791722091</v>
      </c>
      <c r="F127" s="150">
        <v>0.90065827104848439</v>
      </c>
    </row>
    <row r="128" spans="1:6" x14ac:dyDescent="0.25">
      <c r="A128" s="99">
        <f t="shared" si="1"/>
        <v>127</v>
      </c>
      <c r="B128" s="150">
        <v>1</v>
      </c>
      <c r="C128" s="150">
        <v>4.9000000000000004</v>
      </c>
      <c r="D128" s="150">
        <v>4.4039654260321957</v>
      </c>
      <c r="E128" s="150">
        <v>2.1482757100319003</v>
      </c>
      <c r="F128" s="150">
        <v>0.8987684542922848</v>
      </c>
    </row>
    <row r="129" spans="1:6" x14ac:dyDescent="0.25">
      <c r="A129" s="99">
        <f t="shared" si="1"/>
        <v>128</v>
      </c>
      <c r="B129" s="150">
        <v>1</v>
      </c>
      <c r="C129" s="150">
        <v>3.92</v>
      </c>
      <c r="D129" s="150">
        <v>3.5423104141985702</v>
      </c>
      <c r="E129" s="150">
        <v>1.6788201003860874</v>
      </c>
      <c r="F129" s="150">
        <v>0.90365061586698225</v>
      </c>
    </row>
    <row r="130" spans="1:6" x14ac:dyDescent="0.25">
      <c r="A130" s="99">
        <f t="shared" si="1"/>
        <v>129</v>
      </c>
      <c r="B130" s="150">
        <v>1</v>
      </c>
      <c r="C130" s="150">
        <v>3.92</v>
      </c>
      <c r="D130" s="150">
        <v>3.4104000000000001</v>
      </c>
      <c r="E130" s="150">
        <v>1.9327627479853804</v>
      </c>
      <c r="F130" s="150">
        <v>0.87</v>
      </c>
    </row>
    <row r="131" spans="1:6" x14ac:dyDescent="0.25">
      <c r="A131" s="99">
        <f t="shared" si="1"/>
        <v>130</v>
      </c>
      <c r="B131" s="150">
        <v>1</v>
      </c>
      <c r="C131" s="150">
        <v>11.76</v>
      </c>
      <c r="D131" s="150">
        <v>10.516357510630746</v>
      </c>
      <c r="E131" s="150">
        <v>5.2634422870019479</v>
      </c>
      <c r="F131" s="150">
        <v>0.89424808763866892</v>
      </c>
    </row>
    <row r="132" spans="1:6" x14ac:dyDescent="0.25">
      <c r="A132" s="99">
        <f t="shared" ref="A132:A195" si="2">A131+1</f>
        <v>131</v>
      </c>
      <c r="B132" s="150">
        <v>1</v>
      </c>
      <c r="C132" s="150">
        <v>3.92</v>
      </c>
      <c r="D132" s="150">
        <v>3.5187916469744351</v>
      </c>
      <c r="E132" s="150">
        <v>1.7275720955094582</v>
      </c>
      <c r="F132" s="150">
        <v>0.89765093035062127</v>
      </c>
    </row>
    <row r="133" spans="1:6" x14ac:dyDescent="0.25">
      <c r="A133" s="99">
        <f t="shared" si="2"/>
        <v>132</v>
      </c>
      <c r="B133" s="150">
        <v>1</v>
      </c>
      <c r="C133" s="150">
        <v>7.84</v>
      </c>
      <c r="D133" s="150">
        <v>7.0178921947650199</v>
      </c>
      <c r="E133" s="150">
        <v>3.4949662577278495</v>
      </c>
      <c r="F133" s="150">
        <v>0.89513931055676277</v>
      </c>
    </row>
    <row r="134" spans="1:6" x14ac:dyDescent="0.25">
      <c r="A134" s="99">
        <f t="shared" si="2"/>
        <v>133</v>
      </c>
      <c r="B134" s="150">
        <v>1</v>
      </c>
      <c r="C134" s="150">
        <v>17.64</v>
      </c>
      <c r="D134" s="150">
        <v>15.773179920413028</v>
      </c>
      <c r="E134" s="150">
        <v>7.8978728274314003</v>
      </c>
      <c r="F134" s="150">
        <v>0.89417119730232586</v>
      </c>
    </row>
    <row r="135" spans="1:6" x14ac:dyDescent="0.25">
      <c r="A135" s="99">
        <f t="shared" si="2"/>
        <v>134</v>
      </c>
      <c r="B135" s="150">
        <v>3</v>
      </c>
      <c r="C135" s="150">
        <v>133.28</v>
      </c>
      <c r="D135" s="150">
        <v>119.06862481067267</v>
      </c>
      <c r="E135" s="150">
        <v>59.885064796619076</v>
      </c>
      <c r="F135" s="150">
        <v>0.89337203489400263</v>
      </c>
    </row>
    <row r="136" spans="1:6" x14ac:dyDescent="0.25">
      <c r="A136" s="99">
        <f t="shared" si="2"/>
        <v>135</v>
      </c>
      <c r="B136" s="150">
        <v>0</v>
      </c>
      <c r="C136" s="150">
        <v>0</v>
      </c>
      <c r="D136" s="150">
        <v>0</v>
      </c>
      <c r="E136" s="150">
        <v>0</v>
      </c>
      <c r="F136" s="150">
        <v>0</v>
      </c>
    </row>
    <row r="137" spans="1:6" x14ac:dyDescent="0.25">
      <c r="A137" s="99">
        <f t="shared" si="2"/>
        <v>136</v>
      </c>
      <c r="B137" s="150">
        <v>4</v>
      </c>
      <c r="C137" s="150">
        <v>4.9000000000000004</v>
      </c>
      <c r="D137" s="150">
        <v>4.3889009309185152</v>
      </c>
      <c r="E137" s="150">
        <v>2.1788870137257219</v>
      </c>
      <c r="F137" s="150">
        <v>0.89569406753439074</v>
      </c>
    </row>
    <row r="138" spans="1:6" x14ac:dyDescent="0.25">
      <c r="A138" s="99">
        <f t="shared" si="2"/>
        <v>137</v>
      </c>
      <c r="B138" s="150">
        <v>1</v>
      </c>
      <c r="C138" s="150">
        <v>5.88</v>
      </c>
      <c r="D138" s="150">
        <v>5.2753634885515925</v>
      </c>
      <c r="E138" s="150">
        <v>2.5971022435893376</v>
      </c>
      <c r="F138" s="150">
        <v>0.89717066131829803</v>
      </c>
    </row>
    <row r="139" spans="1:6" x14ac:dyDescent="0.25">
      <c r="A139" s="99">
        <f t="shared" si="2"/>
        <v>138</v>
      </c>
      <c r="B139" s="150">
        <v>1</v>
      </c>
      <c r="C139" s="150">
        <v>3.92</v>
      </c>
      <c r="D139" s="150">
        <v>3.5294535770332347</v>
      </c>
      <c r="E139" s="150">
        <v>1.7056838650721025</v>
      </c>
      <c r="F139" s="150">
        <v>0.90037081046766188</v>
      </c>
    </row>
    <row r="140" spans="1:6" x14ac:dyDescent="0.25">
      <c r="A140" s="99">
        <f t="shared" si="2"/>
        <v>139</v>
      </c>
      <c r="B140" s="150">
        <v>0</v>
      </c>
      <c r="C140" s="150">
        <v>0</v>
      </c>
      <c r="D140" s="150">
        <v>0</v>
      </c>
      <c r="E140" s="150">
        <v>0</v>
      </c>
      <c r="F140" s="150">
        <v>0</v>
      </c>
    </row>
    <row r="141" spans="1:6" x14ac:dyDescent="0.25">
      <c r="A141" s="99">
        <f t="shared" si="2"/>
        <v>140</v>
      </c>
      <c r="B141" s="150">
        <v>0</v>
      </c>
      <c r="C141" s="150">
        <v>0</v>
      </c>
      <c r="D141" s="150">
        <v>0</v>
      </c>
      <c r="E141" s="150">
        <v>0</v>
      </c>
      <c r="F141" s="150">
        <v>0</v>
      </c>
    </row>
    <row r="142" spans="1:6" x14ac:dyDescent="0.25">
      <c r="A142" s="99">
        <f t="shared" si="2"/>
        <v>141</v>
      </c>
      <c r="B142" s="150">
        <v>1</v>
      </c>
      <c r="C142" s="150">
        <v>17.64</v>
      </c>
      <c r="D142" s="150">
        <v>16.757999999999999</v>
      </c>
      <c r="E142" s="150">
        <v>5.5080882345873894</v>
      </c>
      <c r="F142" s="150">
        <v>0.95</v>
      </c>
    </row>
    <row r="143" spans="1:6" x14ac:dyDescent="0.25">
      <c r="A143" s="99">
        <f t="shared" si="2"/>
        <v>142</v>
      </c>
      <c r="B143" s="150">
        <v>0</v>
      </c>
      <c r="C143" s="150">
        <v>0</v>
      </c>
      <c r="D143" s="150">
        <v>0</v>
      </c>
      <c r="E143" s="150">
        <v>0</v>
      </c>
      <c r="F143" s="150">
        <v>0</v>
      </c>
    </row>
    <row r="144" spans="1:6" x14ac:dyDescent="0.25">
      <c r="A144" s="99">
        <f t="shared" si="2"/>
        <v>143</v>
      </c>
      <c r="B144" s="150">
        <v>0</v>
      </c>
      <c r="C144" s="150">
        <v>0</v>
      </c>
      <c r="D144" s="150">
        <v>0</v>
      </c>
      <c r="E144" s="150">
        <v>0</v>
      </c>
      <c r="F144" s="150">
        <v>0</v>
      </c>
    </row>
    <row r="145" spans="1:6" x14ac:dyDescent="0.25">
      <c r="A145" s="99">
        <f t="shared" si="2"/>
        <v>144</v>
      </c>
      <c r="B145" s="150">
        <v>0</v>
      </c>
      <c r="C145" s="150">
        <v>0</v>
      </c>
      <c r="D145" s="150">
        <v>0</v>
      </c>
      <c r="E145" s="150">
        <v>0</v>
      </c>
      <c r="F145" s="150">
        <v>0</v>
      </c>
    </row>
    <row r="146" spans="1:6" x14ac:dyDescent="0.25">
      <c r="A146" s="99">
        <f t="shared" si="2"/>
        <v>145</v>
      </c>
      <c r="B146" s="150">
        <v>0</v>
      </c>
      <c r="C146" s="150">
        <v>0</v>
      </c>
      <c r="D146" s="150">
        <v>0</v>
      </c>
      <c r="E146" s="150">
        <v>0</v>
      </c>
      <c r="F146" s="150">
        <v>0</v>
      </c>
    </row>
    <row r="147" spans="1:6" x14ac:dyDescent="0.25">
      <c r="A147" s="99">
        <f t="shared" si="2"/>
        <v>146</v>
      </c>
      <c r="B147" s="150">
        <v>2</v>
      </c>
      <c r="C147" s="150">
        <v>4.9000000000000004</v>
      </c>
      <c r="D147" s="150">
        <v>4.3884903422616892</v>
      </c>
      <c r="E147" s="150">
        <v>2.1797138610092581</v>
      </c>
      <c r="F147" s="150">
        <v>0.89561027393095693</v>
      </c>
    </row>
    <row r="148" spans="1:6" x14ac:dyDescent="0.25">
      <c r="A148" s="99">
        <f t="shared" si="2"/>
        <v>147</v>
      </c>
      <c r="B148" s="150">
        <v>1</v>
      </c>
      <c r="C148" s="150">
        <v>18.62</v>
      </c>
      <c r="D148" s="150">
        <v>16.773724409321364</v>
      </c>
      <c r="E148" s="150">
        <v>8.0837224989565737</v>
      </c>
      <c r="F148" s="150">
        <v>0.90084449029652858</v>
      </c>
    </row>
    <row r="149" spans="1:6" x14ac:dyDescent="0.25">
      <c r="A149" s="99">
        <f t="shared" si="2"/>
        <v>148</v>
      </c>
      <c r="B149" s="150">
        <v>1</v>
      </c>
      <c r="C149" s="150">
        <v>5.88</v>
      </c>
      <c r="D149" s="150">
        <v>5.4096000000000002</v>
      </c>
      <c r="E149" s="150">
        <v>2.3044799500104127</v>
      </c>
      <c r="F149" s="150">
        <v>0.92</v>
      </c>
    </row>
    <row r="150" spans="1:6" x14ac:dyDescent="0.25">
      <c r="A150" s="99">
        <f t="shared" si="2"/>
        <v>149</v>
      </c>
      <c r="B150" s="150">
        <v>3</v>
      </c>
      <c r="C150" s="150">
        <v>129.35999999999999</v>
      </c>
      <c r="D150" s="150">
        <v>115.94430258213262</v>
      </c>
      <c r="E150" s="150">
        <v>57.366613101549511</v>
      </c>
      <c r="F150" s="150">
        <v>0.89629176393114285</v>
      </c>
    </row>
    <row r="151" spans="1:6" x14ac:dyDescent="0.25">
      <c r="A151" s="99">
        <f t="shared" si="2"/>
        <v>150</v>
      </c>
      <c r="B151" s="150">
        <v>1</v>
      </c>
      <c r="C151" s="150">
        <v>14.7</v>
      </c>
      <c r="D151" s="150">
        <v>13.670999999999999</v>
      </c>
      <c r="E151" s="150">
        <v>5.4031249291497971</v>
      </c>
      <c r="F151" s="150">
        <v>0.93</v>
      </c>
    </row>
    <row r="152" spans="1:6" x14ac:dyDescent="0.25">
      <c r="A152" s="99">
        <f t="shared" si="2"/>
        <v>151</v>
      </c>
      <c r="B152" s="150">
        <v>0</v>
      </c>
      <c r="C152" s="150">
        <v>0</v>
      </c>
      <c r="D152" s="150">
        <v>0</v>
      </c>
      <c r="E152" s="150">
        <v>0</v>
      </c>
      <c r="F152" s="150">
        <v>0</v>
      </c>
    </row>
    <row r="153" spans="1:6" x14ac:dyDescent="0.25">
      <c r="A153" s="99">
        <f t="shared" si="2"/>
        <v>152</v>
      </c>
      <c r="B153" s="150">
        <v>4</v>
      </c>
      <c r="C153" s="150">
        <v>58.8</v>
      </c>
      <c r="D153" s="150">
        <v>52.546500520908801</v>
      </c>
      <c r="E153" s="150">
        <v>26.38759714347124</v>
      </c>
      <c r="F153" s="150">
        <v>0.89364796804266666</v>
      </c>
    </row>
    <row r="154" spans="1:6" x14ac:dyDescent="0.25">
      <c r="A154" s="99">
        <f t="shared" si="2"/>
        <v>153</v>
      </c>
      <c r="B154" s="150">
        <v>4</v>
      </c>
      <c r="C154" s="150">
        <v>39.200000000000003</v>
      </c>
      <c r="D154" s="150">
        <v>35.061545887196708</v>
      </c>
      <c r="E154" s="150">
        <v>17.53077294359835</v>
      </c>
      <c r="F154" s="150">
        <v>0.89442719099991597</v>
      </c>
    </row>
    <row r="155" spans="1:6" x14ac:dyDescent="0.25">
      <c r="A155" s="99">
        <f t="shared" si="2"/>
        <v>154</v>
      </c>
      <c r="B155" s="150">
        <v>4</v>
      </c>
      <c r="C155" s="150">
        <v>29.4</v>
      </c>
      <c r="D155" s="150">
        <v>26.296159415397526</v>
      </c>
      <c r="E155" s="150">
        <v>13.148079707698761</v>
      </c>
      <c r="F155" s="150">
        <v>0.89442719099991586</v>
      </c>
    </row>
    <row r="156" spans="1:6" x14ac:dyDescent="0.25">
      <c r="A156" s="99">
        <f t="shared" si="2"/>
        <v>155</v>
      </c>
      <c r="B156" s="150">
        <v>4</v>
      </c>
      <c r="C156" s="150">
        <v>14.7</v>
      </c>
      <c r="D156" s="150">
        <v>13.148079707698763</v>
      </c>
      <c r="E156" s="150">
        <v>6.5740398538493805</v>
      </c>
      <c r="F156" s="150">
        <v>0.89442719099991586</v>
      </c>
    </row>
    <row r="157" spans="1:6" x14ac:dyDescent="0.25">
      <c r="A157" s="99">
        <f t="shared" si="2"/>
        <v>156</v>
      </c>
      <c r="B157" s="150">
        <v>0</v>
      </c>
      <c r="C157" s="150">
        <v>0</v>
      </c>
      <c r="D157" s="150">
        <v>0</v>
      </c>
      <c r="E157" s="150">
        <v>0</v>
      </c>
      <c r="F157" s="150">
        <v>0</v>
      </c>
    </row>
    <row r="158" spans="1:6" x14ac:dyDescent="0.25">
      <c r="A158" s="99">
        <f t="shared" si="2"/>
        <v>157</v>
      </c>
      <c r="B158" s="150">
        <v>0</v>
      </c>
      <c r="C158" s="150">
        <v>0</v>
      </c>
      <c r="D158" s="150">
        <v>0</v>
      </c>
      <c r="E158" s="150">
        <v>0</v>
      </c>
      <c r="F158" s="150">
        <v>0</v>
      </c>
    </row>
    <row r="159" spans="1:6" x14ac:dyDescent="0.25">
      <c r="A159" s="99">
        <f t="shared" si="2"/>
        <v>158</v>
      </c>
      <c r="B159" s="150">
        <v>4</v>
      </c>
      <c r="C159" s="150">
        <v>29.4</v>
      </c>
      <c r="D159" s="150">
        <v>26.6162065069453</v>
      </c>
      <c r="E159" s="150">
        <v>12.487495792977974</v>
      </c>
      <c r="F159" s="150">
        <v>0.90531314649473815</v>
      </c>
    </row>
    <row r="160" spans="1:6" x14ac:dyDescent="0.25">
      <c r="A160" s="99">
        <f t="shared" si="2"/>
        <v>159</v>
      </c>
      <c r="B160" s="150">
        <v>1</v>
      </c>
      <c r="C160" s="150">
        <v>29.4</v>
      </c>
      <c r="D160" s="150">
        <v>26.46</v>
      </c>
      <c r="E160" s="150">
        <v>12.815162894009575</v>
      </c>
      <c r="F160" s="150">
        <v>0.9</v>
      </c>
    </row>
    <row r="161" spans="1:6" x14ac:dyDescent="0.25">
      <c r="A161" s="99">
        <f t="shared" si="2"/>
        <v>160</v>
      </c>
      <c r="B161" s="150">
        <v>1</v>
      </c>
      <c r="C161" s="150">
        <v>29.4</v>
      </c>
      <c r="D161" s="150">
        <v>27.047999999999998</v>
      </c>
      <c r="E161" s="150">
        <v>11.522399750052072</v>
      </c>
      <c r="F161" s="150">
        <v>0.92</v>
      </c>
    </row>
    <row r="162" spans="1:6" x14ac:dyDescent="0.25">
      <c r="A162" s="99">
        <f t="shared" si="2"/>
        <v>161</v>
      </c>
      <c r="B162" s="150">
        <v>4</v>
      </c>
      <c r="C162" s="150">
        <v>29.4</v>
      </c>
      <c r="D162" s="150">
        <v>26.296159415397526</v>
      </c>
      <c r="E162" s="150">
        <v>13.148079707698761</v>
      </c>
      <c r="F162" s="150">
        <v>0.89442719099991586</v>
      </c>
    </row>
    <row r="163" spans="1:6" x14ac:dyDescent="0.25">
      <c r="A163" s="99">
        <f t="shared" si="2"/>
        <v>162</v>
      </c>
      <c r="B163" s="150">
        <v>4</v>
      </c>
      <c r="C163" s="150">
        <v>29.4</v>
      </c>
      <c r="D163" s="150">
        <v>26.296159415397526</v>
      </c>
      <c r="E163" s="150">
        <v>13.148079707698761</v>
      </c>
      <c r="F163" s="150">
        <v>0.89442719099991586</v>
      </c>
    </row>
    <row r="164" spans="1:6" x14ac:dyDescent="0.25">
      <c r="A164" s="99">
        <f t="shared" si="2"/>
        <v>163</v>
      </c>
      <c r="B164" s="150">
        <v>1</v>
      </c>
      <c r="C164" s="150">
        <v>14.7</v>
      </c>
      <c r="D164" s="150">
        <v>12.936</v>
      </c>
      <c r="E164" s="150">
        <v>6.9821131471782945</v>
      </c>
      <c r="F164" s="150">
        <v>0.88</v>
      </c>
    </row>
    <row r="165" spans="1:6" x14ac:dyDescent="0.25">
      <c r="A165" s="99">
        <f t="shared" si="2"/>
        <v>164</v>
      </c>
      <c r="B165" s="150">
        <v>1</v>
      </c>
      <c r="C165" s="150">
        <v>14.7</v>
      </c>
      <c r="D165" s="150">
        <v>13.083</v>
      </c>
      <c r="E165" s="150">
        <v>6.70261971172466</v>
      </c>
      <c r="F165" s="150">
        <v>0.89</v>
      </c>
    </row>
    <row r="166" spans="1:6" x14ac:dyDescent="0.25">
      <c r="A166" s="99">
        <f t="shared" si="2"/>
        <v>165</v>
      </c>
      <c r="B166" s="150">
        <v>1</v>
      </c>
      <c r="C166" s="150">
        <v>5.88</v>
      </c>
      <c r="D166" s="150">
        <v>5.2332000000000001</v>
      </c>
      <c r="E166" s="150">
        <v>2.6810478846898644</v>
      </c>
      <c r="F166" s="150">
        <v>0.89</v>
      </c>
    </row>
    <row r="167" spans="1:6" x14ac:dyDescent="0.25">
      <c r="A167" s="99">
        <f t="shared" si="2"/>
        <v>166</v>
      </c>
      <c r="B167" s="150">
        <v>1</v>
      </c>
      <c r="C167" s="150">
        <v>5.88</v>
      </c>
      <c r="D167" s="150">
        <v>5.2332000000000001</v>
      </c>
      <c r="E167" s="150">
        <v>2.6810478846898644</v>
      </c>
      <c r="F167" s="150">
        <v>0.89</v>
      </c>
    </row>
    <row r="168" spans="1:6" x14ac:dyDescent="0.25">
      <c r="A168" s="99">
        <f t="shared" si="2"/>
        <v>167</v>
      </c>
      <c r="B168" s="150">
        <v>1</v>
      </c>
      <c r="C168" s="150">
        <v>5.88</v>
      </c>
      <c r="D168" s="150">
        <v>5.2332000000000001</v>
      </c>
      <c r="E168" s="150">
        <v>2.6810478846898644</v>
      </c>
      <c r="F168" s="150">
        <v>0.89</v>
      </c>
    </row>
    <row r="169" spans="1:6" x14ac:dyDescent="0.25">
      <c r="A169" s="99">
        <f t="shared" si="2"/>
        <v>168</v>
      </c>
      <c r="B169" s="150">
        <v>0</v>
      </c>
      <c r="C169" s="150">
        <v>0</v>
      </c>
      <c r="D169" s="150">
        <v>0</v>
      </c>
      <c r="E169" s="150">
        <v>0</v>
      </c>
      <c r="F169" s="150">
        <v>0.89</v>
      </c>
    </row>
    <row r="170" spans="1:6" x14ac:dyDescent="0.25">
      <c r="A170" s="99">
        <f t="shared" si="2"/>
        <v>169</v>
      </c>
      <c r="B170" s="150">
        <v>1</v>
      </c>
      <c r="C170" s="150">
        <v>4.9000000000000004</v>
      </c>
      <c r="D170" s="150">
        <v>4.6550000000000002</v>
      </c>
      <c r="E170" s="150">
        <v>1.5300245096076088</v>
      </c>
      <c r="F170" s="150">
        <v>0.95</v>
      </c>
    </row>
    <row r="171" spans="1:6" x14ac:dyDescent="0.25">
      <c r="A171" s="99">
        <f t="shared" si="2"/>
        <v>170</v>
      </c>
      <c r="B171" s="150">
        <v>1</v>
      </c>
      <c r="C171" s="150">
        <v>4.9000000000000004</v>
      </c>
      <c r="D171" s="150">
        <v>4.5080000000000009</v>
      </c>
      <c r="E171" s="150">
        <v>1.9203999583420108</v>
      </c>
      <c r="F171" s="150">
        <v>0.92</v>
      </c>
    </row>
    <row r="172" spans="1:6" x14ac:dyDescent="0.25">
      <c r="A172" s="99">
        <f t="shared" si="2"/>
        <v>171</v>
      </c>
      <c r="B172" s="150">
        <v>0</v>
      </c>
      <c r="C172" s="150">
        <v>0</v>
      </c>
      <c r="D172" s="150">
        <v>0</v>
      </c>
      <c r="E172" s="150">
        <v>0</v>
      </c>
      <c r="F172" s="150">
        <v>0</v>
      </c>
    </row>
    <row r="173" spans="1:6" x14ac:dyDescent="0.25">
      <c r="A173" s="99">
        <f t="shared" si="2"/>
        <v>172</v>
      </c>
      <c r="B173" s="150">
        <v>0</v>
      </c>
      <c r="C173" s="150">
        <v>0</v>
      </c>
      <c r="D173" s="150">
        <v>0</v>
      </c>
      <c r="E173" s="150">
        <v>0</v>
      </c>
      <c r="F173" s="150">
        <v>0</v>
      </c>
    </row>
    <row r="174" spans="1:6" x14ac:dyDescent="0.25">
      <c r="A174" s="99">
        <f t="shared" si="2"/>
        <v>173</v>
      </c>
      <c r="B174" s="150">
        <v>0</v>
      </c>
      <c r="C174" s="150">
        <v>8.82</v>
      </c>
      <c r="D174" s="150">
        <v>7.7616000000000005</v>
      </c>
      <c r="E174" s="150">
        <v>4.1892678883069765</v>
      </c>
      <c r="F174" s="150">
        <v>0.88</v>
      </c>
    </row>
    <row r="175" spans="1:6" x14ac:dyDescent="0.25">
      <c r="A175" s="99">
        <f t="shared" si="2"/>
        <v>174</v>
      </c>
      <c r="B175" s="150">
        <v>1</v>
      </c>
      <c r="C175" s="150">
        <v>17.64</v>
      </c>
      <c r="D175" s="150">
        <v>15.964401592710576</v>
      </c>
      <c r="E175" s="150">
        <v>7.5038311406014477</v>
      </c>
      <c r="F175" s="150">
        <v>0.90501142815819591</v>
      </c>
    </row>
    <row r="176" spans="1:6" x14ac:dyDescent="0.25">
      <c r="A176" s="99">
        <f t="shared" si="2"/>
        <v>175</v>
      </c>
      <c r="B176" s="150">
        <v>1</v>
      </c>
      <c r="C176" s="150">
        <v>8.82</v>
      </c>
      <c r="D176" s="150">
        <v>8.3789999999999996</v>
      </c>
      <c r="E176" s="150">
        <v>2.7540441172936947</v>
      </c>
      <c r="F176" s="150">
        <v>0.95</v>
      </c>
    </row>
    <row r="177" spans="1:6" x14ac:dyDescent="0.25">
      <c r="A177" s="99">
        <f t="shared" si="2"/>
        <v>176</v>
      </c>
      <c r="B177" s="150">
        <v>4</v>
      </c>
      <c r="C177" s="150">
        <v>17.64</v>
      </c>
      <c r="D177" s="150">
        <v>15.823173983194257</v>
      </c>
      <c r="E177" s="150">
        <v>7.7972280393460593</v>
      </c>
      <c r="F177" s="150">
        <v>0.89700532784547937</v>
      </c>
    </row>
    <row r="178" spans="1:6" x14ac:dyDescent="0.25">
      <c r="A178" s="99">
        <f t="shared" si="2"/>
        <v>177</v>
      </c>
      <c r="B178" s="150">
        <v>4</v>
      </c>
      <c r="C178" s="150">
        <v>17.64</v>
      </c>
      <c r="D178" s="150">
        <v>15.819832791816346</v>
      </c>
      <c r="E178" s="150">
        <v>7.8040047692817467</v>
      </c>
      <c r="F178" s="150">
        <v>0.89681591790342097</v>
      </c>
    </row>
    <row r="179" spans="1:6" x14ac:dyDescent="0.25">
      <c r="A179" s="99">
        <f t="shared" si="2"/>
        <v>178</v>
      </c>
      <c r="B179" s="150">
        <v>4</v>
      </c>
      <c r="C179" s="150">
        <v>17.64</v>
      </c>
      <c r="D179" s="150">
        <v>15.819832791816346</v>
      </c>
      <c r="E179" s="150">
        <v>7.8040047692817467</v>
      </c>
      <c r="F179" s="150">
        <v>0.89681591790342097</v>
      </c>
    </row>
    <row r="180" spans="1:6" x14ac:dyDescent="0.25">
      <c r="A180" s="99">
        <f t="shared" si="2"/>
        <v>179</v>
      </c>
      <c r="B180" s="150">
        <v>4</v>
      </c>
      <c r="C180" s="150">
        <v>98</v>
      </c>
      <c r="D180" s="150">
        <v>97.879036701771355</v>
      </c>
      <c r="E180" s="150">
        <v>4.8676662101355568</v>
      </c>
      <c r="F180" s="150">
        <v>0.9987656806303199</v>
      </c>
    </row>
    <row r="181" spans="1:6" x14ac:dyDescent="0.25">
      <c r="A181" s="99">
        <f t="shared" si="2"/>
        <v>180</v>
      </c>
      <c r="B181" s="150">
        <v>1</v>
      </c>
      <c r="C181" s="150">
        <v>14.7</v>
      </c>
      <c r="D181" s="150">
        <v>13.670999999999999</v>
      </c>
      <c r="E181" s="150">
        <v>5.4031249291497971</v>
      </c>
      <c r="F181" s="150">
        <v>0.93</v>
      </c>
    </row>
    <row r="182" spans="1:6" x14ac:dyDescent="0.25">
      <c r="A182" s="99">
        <f t="shared" si="2"/>
        <v>181</v>
      </c>
      <c r="B182" s="150">
        <v>1</v>
      </c>
      <c r="C182" s="150">
        <v>14.7</v>
      </c>
      <c r="D182" s="150">
        <v>13.236382109348321</v>
      </c>
      <c r="E182" s="150">
        <v>6.3943872775523696</v>
      </c>
      <c r="F182" s="150">
        <v>0.90043415709852537</v>
      </c>
    </row>
    <row r="183" spans="1:6" x14ac:dyDescent="0.25">
      <c r="A183" s="99">
        <f t="shared" si="2"/>
        <v>182</v>
      </c>
      <c r="B183" s="150">
        <v>4</v>
      </c>
      <c r="C183" s="150">
        <v>8.82</v>
      </c>
      <c r="D183" s="150">
        <v>7.864748759860368</v>
      </c>
      <c r="E183" s="150">
        <v>3.9922583764424373</v>
      </c>
      <c r="F183" s="150">
        <v>0.891694870732468</v>
      </c>
    </row>
    <row r="184" spans="1:6" x14ac:dyDescent="0.25">
      <c r="A184" s="99">
        <f t="shared" si="2"/>
        <v>183</v>
      </c>
      <c r="B184" s="150">
        <v>1</v>
      </c>
      <c r="C184" s="150">
        <v>8.82</v>
      </c>
      <c r="D184" s="150">
        <v>7.7616000000000005</v>
      </c>
      <c r="E184" s="150">
        <v>4.1892678883069765</v>
      </c>
      <c r="F184" s="150">
        <v>0.88</v>
      </c>
    </row>
    <row r="185" spans="1:6" x14ac:dyDescent="0.25">
      <c r="A185" s="99">
        <f t="shared" si="2"/>
        <v>184</v>
      </c>
      <c r="B185" s="150">
        <v>0</v>
      </c>
      <c r="C185" s="150">
        <v>0</v>
      </c>
      <c r="D185" s="150">
        <v>0</v>
      </c>
      <c r="E185" s="150">
        <v>0</v>
      </c>
      <c r="F185" s="150">
        <v>0</v>
      </c>
    </row>
    <row r="186" spans="1:6" x14ac:dyDescent="0.25">
      <c r="A186" s="99">
        <f t="shared" si="2"/>
        <v>185</v>
      </c>
      <c r="B186" s="150">
        <v>1</v>
      </c>
      <c r="C186" s="150">
        <v>245</v>
      </c>
      <c r="D186" s="150">
        <v>244.65404221279212</v>
      </c>
      <c r="E186" s="150">
        <v>13.015361268183588</v>
      </c>
      <c r="F186" s="150">
        <v>0.99858792739915148</v>
      </c>
    </row>
    <row r="187" spans="1:6" x14ac:dyDescent="0.25">
      <c r="A187" s="99">
        <f t="shared" si="2"/>
        <v>186</v>
      </c>
      <c r="B187" s="150">
        <v>0</v>
      </c>
      <c r="C187" s="150">
        <v>0</v>
      </c>
      <c r="D187" s="150">
        <v>0</v>
      </c>
      <c r="E187" s="150">
        <v>0</v>
      </c>
      <c r="F187" s="150">
        <v>0</v>
      </c>
    </row>
    <row r="188" spans="1:6" x14ac:dyDescent="0.25">
      <c r="A188" s="99">
        <f t="shared" si="2"/>
        <v>187</v>
      </c>
      <c r="B188" s="150">
        <v>0</v>
      </c>
      <c r="C188" s="150">
        <v>0</v>
      </c>
      <c r="D188" s="150">
        <v>0</v>
      </c>
      <c r="E188" s="150">
        <v>0</v>
      </c>
      <c r="F188" s="150">
        <v>0</v>
      </c>
    </row>
    <row r="189" spans="1:6" x14ac:dyDescent="0.25">
      <c r="A189" s="99">
        <f t="shared" si="2"/>
        <v>188</v>
      </c>
      <c r="B189" s="150">
        <v>1</v>
      </c>
      <c r="C189" s="150">
        <v>14.7</v>
      </c>
      <c r="D189" s="150">
        <v>12.789</v>
      </c>
      <c r="E189" s="150">
        <v>7.2478603049451769</v>
      </c>
      <c r="F189" s="150">
        <v>0.87</v>
      </c>
    </row>
    <row r="190" spans="1:6" x14ac:dyDescent="0.25">
      <c r="A190" s="99">
        <f t="shared" si="2"/>
        <v>189</v>
      </c>
      <c r="B190" s="150">
        <v>1</v>
      </c>
      <c r="C190" s="150">
        <v>10.78</v>
      </c>
      <c r="D190" s="150">
        <v>9.7497725199185599</v>
      </c>
      <c r="E190" s="150">
        <v>4.5989494245795832</v>
      </c>
      <c r="F190" s="150">
        <v>0.90443158811860491</v>
      </c>
    </row>
    <row r="191" spans="1:6" x14ac:dyDescent="0.25">
      <c r="A191" s="99">
        <f t="shared" si="2"/>
        <v>190</v>
      </c>
      <c r="B191" s="150">
        <v>1</v>
      </c>
      <c r="C191" s="150">
        <v>117.6</v>
      </c>
      <c r="D191" s="150">
        <v>105.5189155234217</v>
      </c>
      <c r="E191" s="150">
        <v>51.918382744082024</v>
      </c>
      <c r="F191" s="150">
        <v>0.89726968982501443</v>
      </c>
    </row>
    <row r="192" spans="1:6" x14ac:dyDescent="0.25">
      <c r="A192" s="99">
        <f t="shared" si="2"/>
        <v>191</v>
      </c>
      <c r="B192" s="150">
        <v>2</v>
      </c>
      <c r="C192" s="150">
        <v>4.9000000000000004</v>
      </c>
      <c r="D192" s="150">
        <v>4.386655837396999</v>
      </c>
      <c r="E192" s="150">
        <v>2.1834034359757792</v>
      </c>
      <c r="F192" s="150">
        <v>0.89523588518306096</v>
      </c>
    </row>
    <row r="193" spans="1:6" x14ac:dyDescent="0.25">
      <c r="A193" s="99">
        <f t="shared" si="2"/>
        <v>192</v>
      </c>
      <c r="B193" s="150">
        <v>1</v>
      </c>
      <c r="C193" s="150">
        <v>5.88</v>
      </c>
      <c r="D193" s="150">
        <v>5.5859999999999994</v>
      </c>
      <c r="E193" s="150">
        <v>1.8360294115291298</v>
      </c>
      <c r="F193" s="150">
        <v>0.95</v>
      </c>
    </row>
    <row r="194" spans="1:6" x14ac:dyDescent="0.25">
      <c r="A194" s="99">
        <f t="shared" si="2"/>
        <v>193</v>
      </c>
      <c r="B194" s="150">
        <v>1</v>
      </c>
      <c r="C194" s="150">
        <v>5.88</v>
      </c>
      <c r="D194" s="150">
        <v>5.5859999999999994</v>
      </c>
      <c r="E194" s="150">
        <v>1.8360294115291298</v>
      </c>
      <c r="F194" s="150">
        <v>0.95</v>
      </c>
    </row>
    <row r="195" spans="1:6" x14ac:dyDescent="0.25">
      <c r="A195" s="99">
        <f t="shared" si="2"/>
        <v>194</v>
      </c>
      <c r="B195" s="150">
        <v>0</v>
      </c>
      <c r="C195" s="150">
        <v>0</v>
      </c>
      <c r="D195" s="150">
        <v>0</v>
      </c>
      <c r="E195" s="150">
        <v>0</v>
      </c>
      <c r="F195" s="150">
        <v>0</v>
      </c>
    </row>
    <row r="196" spans="1:6" x14ac:dyDescent="0.25">
      <c r="A196" s="99">
        <f t="shared" ref="A196:A209" si="3">A195+1</f>
        <v>195</v>
      </c>
      <c r="B196" s="150">
        <v>4</v>
      </c>
      <c r="C196" s="150">
        <v>17.64</v>
      </c>
      <c r="D196" s="150">
        <v>15.945926594701968</v>
      </c>
      <c r="E196" s="150">
        <v>7.5430116688479609</v>
      </c>
      <c r="F196" s="150">
        <v>0.90396409267017952</v>
      </c>
    </row>
    <row r="197" spans="1:6" x14ac:dyDescent="0.25">
      <c r="A197" s="99">
        <f t="shared" si="3"/>
        <v>196</v>
      </c>
      <c r="B197" s="150">
        <v>0</v>
      </c>
      <c r="C197" s="150">
        <v>0</v>
      </c>
      <c r="D197" s="150">
        <v>0</v>
      </c>
      <c r="E197" s="150">
        <v>0</v>
      </c>
      <c r="F197" s="150">
        <v>0</v>
      </c>
    </row>
    <row r="198" spans="1:6" x14ac:dyDescent="0.25">
      <c r="A198" s="99">
        <f t="shared" si="3"/>
        <v>197</v>
      </c>
      <c r="B198" s="150">
        <v>0</v>
      </c>
      <c r="C198" s="150">
        <v>0</v>
      </c>
      <c r="D198" s="150">
        <v>0</v>
      </c>
      <c r="E198" s="150">
        <v>0</v>
      </c>
      <c r="F198" s="150">
        <v>0</v>
      </c>
    </row>
    <row r="199" spans="1:6" x14ac:dyDescent="0.25">
      <c r="A199" s="99">
        <f t="shared" si="3"/>
        <v>198</v>
      </c>
      <c r="B199" s="150">
        <v>4</v>
      </c>
      <c r="C199" s="150">
        <v>7.84</v>
      </c>
      <c r="D199" s="150">
        <v>7.0189495744163715</v>
      </c>
      <c r="E199" s="150">
        <v>3.4928422340266416</v>
      </c>
      <c r="F199" s="150">
        <v>0.89527418041025153</v>
      </c>
    </row>
    <row r="200" spans="1:6" x14ac:dyDescent="0.25">
      <c r="A200" s="99">
        <f t="shared" si="3"/>
        <v>199</v>
      </c>
      <c r="B200" s="150">
        <v>0</v>
      </c>
      <c r="C200" s="150">
        <v>0</v>
      </c>
      <c r="D200" s="150">
        <v>0</v>
      </c>
      <c r="E200" s="150">
        <v>0</v>
      </c>
      <c r="F200" s="150">
        <v>0</v>
      </c>
    </row>
    <row r="201" spans="1:6" x14ac:dyDescent="0.25">
      <c r="A201" s="99">
        <f t="shared" si="3"/>
        <v>200</v>
      </c>
      <c r="B201" s="150">
        <v>1</v>
      </c>
      <c r="C201" s="150">
        <v>14.7</v>
      </c>
      <c r="D201" s="150">
        <v>13.60120313020971</v>
      </c>
      <c r="E201" s="150">
        <v>5.5764929311148208</v>
      </c>
      <c r="F201" s="150">
        <v>0.92525191361970816</v>
      </c>
    </row>
    <row r="202" spans="1:6" x14ac:dyDescent="0.25">
      <c r="A202" s="99">
        <f t="shared" si="3"/>
        <v>201</v>
      </c>
      <c r="B202" s="150">
        <v>2</v>
      </c>
      <c r="C202" s="150">
        <v>2.94</v>
      </c>
      <c r="D202" s="150">
        <v>2.6296159415397531</v>
      </c>
      <c r="E202" s="150">
        <v>1.3148079707698754</v>
      </c>
      <c r="F202" s="150">
        <v>0.89442719099991608</v>
      </c>
    </row>
    <row r="203" spans="1:6" x14ac:dyDescent="0.25">
      <c r="A203" s="99">
        <f t="shared" si="3"/>
        <v>202</v>
      </c>
      <c r="B203" s="150">
        <v>0</v>
      </c>
      <c r="C203" s="150">
        <v>0</v>
      </c>
      <c r="D203" s="150">
        <v>0</v>
      </c>
      <c r="E203" s="150">
        <v>0</v>
      </c>
      <c r="F203" s="150">
        <v>0</v>
      </c>
    </row>
    <row r="204" spans="1:6" x14ac:dyDescent="0.25">
      <c r="A204" s="99">
        <f t="shared" si="3"/>
        <v>203</v>
      </c>
      <c r="B204" s="150">
        <v>1</v>
      </c>
      <c r="C204" s="150">
        <v>14.7</v>
      </c>
      <c r="D204" s="150">
        <v>13.174063397230153</v>
      </c>
      <c r="E204" s="150">
        <v>6.5218136745663555</v>
      </c>
      <c r="F204" s="150">
        <v>0.89619478892722138</v>
      </c>
    </row>
    <row r="205" spans="1:6" x14ac:dyDescent="0.25">
      <c r="A205" s="99">
        <f t="shared" si="3"/>
        <v>204</v>
      </c>
      <c r="B205" s="150">
        <v>4</v>
      </c>
      <c r="C205" s="150">
        <v>5.88</v>
      </c>
      <c r="D205" s="150">
        <v>5.2614177183328881</v>
      </c>
      <c r="E205" s="150">
        <v>2.6252397210945788</v>
      </c>
      <c r="F205" s="150">
        <v>0.89479893168926672</v>
      </c>
    </row>
    <row r="206" spans="1:6" x14ac:dyDescent="0.25">
      <c r="A206" s="99">
        <f t="shared" si="3"/>
        <v>205</v>
      </c>
      <c r="B206" s="150">
        <v>4</v>
      </c>
      <c r="C206" s="150">
        <v>11.76</v>
      </c>
      <c r="D206" s="150">
        <v>10.535420876058355</v>
      </c>
      <c r="E206" s="150">
        <v>5.2251800891752804</v>
      </c>
      <c r="F206" s="150">
        <v>0.89586912211380576</v>
      </c>
    </row>
    <row r="207" spans="1:6" x14ac:dyDescent="0.25">
      <c r="A207" s="99">
        <f t="shared" si="3"/>
        <v>206</v>
      </c>
      <c r="B207" s="150">
        <v>4</v>
      </c>
      <c r="C207" s="150">
        <v>49</v>
      </c>
      <c r="D207" s="150">
        <v>44.080703913687401</v>
      </c>
      <c r="E207" s="150">
        <v>21.398400465311052</v>
      </c>
      <c r="F207" s="150">
        <v>0.89960620232015109</v>
      </c>
    </row>
    <row r="208" spans="1:6" x14ac:dyDescent="0.25">
      <c r="A208" s="99">
        <f t="shared" si="3"/>
        <v>207</v>
      </c>
      <c r="B208" s="150">
        <v>0</v>
      </c>
      <c r="C208" s="150">
        <v>0</v>
      </c>
      <c r="D208" s="150">
        <v>0</v>
      </c>
      <c r="E208" s="150">
        <v>0</v>
      </c>
      <c r="F208" s="150">
        <v>0.93</v>
      </c>
    </row>
    <row r="209" spans="1:6" x14ac:dyDescent="0.25">
      <c r="A209" s="99">
        <f t="shared" si="3"/>
        <v>208</v>
      </c>
      <c r="B209" s="150">
        <v>-1</v>
      </c>
      <c r="C209" s="150">
        <v>0</v>
      </c>
      <c r="D209" s="150">
        <v>0</v>
      </c>
      <c r="E209" s="150">
        <v>0</v>
      </c>
      <c r="F209" s="150">
        <v>0</v>
      </c>
    </row>
    <row r="210" spans="1:6" x14ac:dyDescent="0.25">
      <c r="D210">
        <v>2516.6929819338566</v>
      </c>
      <c r="E210">
        <v>1046.7118981529959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210"/>
  <sheetViews>
    <sheetView workbookViewId="0">
      <selection activeCell="F50" sqref="F50"/>
    </sheetView>
  </sheetViews>
  <sheetFormatPr defaultRowHeight="15" x14ac:dyDescent="0.25"/>
  <sheetData>
    <row r="1" spans="1:13" ht="38.25" customHeight="1" x14ac:dyDescent="0.25">
      <c r="A1" s="11" t="s">
        <v>0</v>
      </c>
      <c r="B1" s="11" t="s">
        <v>21</v>
      </c>
      <c r="C1" s="11" t="s">
        <v>22</v>
      </c>
      <c r="D1" s="11" t="s">
        <v>23</v>
      </c>
      <c r="E1" s="11" t="s">
        <v>24</v>
      </c>
      <c r="F1" s="11" t="s">
        <v>25</v>
      </c>
      <c r="G1" s="11" t="s">
        <v>26</v>
      </c>
      <c r="H1" s="11" t="s">
        <v>27</v>
      </c>
      <c r="I1" s="11" t="s">
        <v>28</v>
      </c>
      <c r="J1" s="11" t="s">
        <v>29</v>
      </c>
      <c r="K1" s="11" t="s">
        <v>30</v>
      </c>
      <c r="L1" s="11" t="s">
        <v>31</v>
      </c>
      <c r="M1" s="11" t="s">
        <v>32</v>
      </c>
    </row>
    <row r="2" spans="1:13" x14ac:dyDescent="0.25">
      <c r="A2" s="3">
        <v>1</v>
      </c>
      <c r="B2" s="4">
        <v>3</v>
      </c>
      <c r="C2" s="4">
        <v>0</v>
      </c>
      <c r="D2" s="4">
        <v>0</v>
      </c>
      <c r="E2" s="4">
        <v>0</v>
      </c>
      <c r="F2" s="4">
        <v>0</v>
      </c>
      <c r="G2" s="4">
        <v>1</v>
      </c>
      <c r="H2" s="4">
        <v>1</v>
      </c>
      <c r="I2" s="4">
        <v>0</v>
      </c>
      <c r="J2" s="130">
        <v>230</v>
      </c>
      <c r="K2" s="4">
        <v>1</v>
      </c>
      <c r="L2" s="4">
        <v>1.2</v>
      </c>
      <c r="M2" s="4">
        <v>0.8</v>
      </c>
    </row>
    <row r="3" spans="1:13" x14ac:dyDescent="0.25">
      <c r="A3" s="72">
        <f>A2+1</f>
        <v>2</v>
      </c>
      <c r="B3" s="73">
        <v>1</v>
      </c>
      <c r="C3" s="73">
        <v>0</v>
      </c>
      <c r="D3" s="73">
        <v>0</v>
      </c>
      <c r="E3" s="73">
        <v>0</v>
      </c>
      <c r="F3" s="73">
        <v>0</v>
      </c>
      <c r="G3" s="73">
        <v>1</v>
      </c>
      <c r="H3" s="73">
        <v>1</v>
      </c>
      <c r="I3" s="73">
        <v>0</v>
      </c>
      <c r="J3" s="115">
        <v>230</v>
      </c>
      <c r="K3" s="73">
        <v>1</v>
      </c>
      <c r="L3" s="73">
        <v>1.2</v>
      </c>
      <c r="M3" s="73">
        <v>0.8</v>
      </c>
    </row>
    <row r="4" spans="1:13" x14ac:dyDescent="0.25">
      <c r="A4" s="80">
        <f t="shared" ref="A4:A67" si="0">A3+1</f>
        <v>3</v>
      </c>
      <c r="B4" s="5">
        <v>1</v>
      </c>
      <c r="C4" s="5">
        <v>0</v>
      </c>
      <c r="D4" s="5">
        <v>0</v>
      </c>
      <c r="E4" s="5">
        <v>0</v>
      </c>
      <c r="F4" s="5">
        <v>0</v>
      </c>
      <c r="G4" s="5">
        <v>1</v>
      </c>
      <c r="H4" s="5">
        <v>1</v>
      </c>
      <c r="I4" s="5">
        <v>0</v>
      </c>
      <c r="J4" s="128">
        <v>230</v>
      </c>
      <c r="K4" s="5">
        <v>1</v>
      </c>
      <c r="L4" s="5">
        <v>1.2</v>
      </c>
      <c r="M4" s="5">
        <v>0.8</v>
      </c>
    </row>
    <row r="5" spans="1:13" x14ac:dyDescent="0.25">
      <c r="A5" s="76">
        <f t="shared" si="0"/>
        <v>4</v>
      </c>
      <c r="B5" s="77">
        <v>1</v>
      </c>
      <c r="C5" s="77">
        <v>0</v>
      </c>
      <c r="D5" s="77">
        <v>0</v>
      </c>
      <c r="E5" s="77">
        <v>0</v>
      </c>
      <c r="F5" s="77">
        <v>0</v>
      </c>
      <c r="G5" s="77">
        <v>1</v>
      </c>
      <c r="H5" s="77">
        <v>1</v>
      </c>
      <c r="I5" s="77">
        <v>0</v>
      </c>
      <c r="J5" s="129">
        <v>230</v>
      </c>
      <c r="K5" s="77">
        <v>1</v>
      </c>
      <c r="L5" s="77">
        <v>1.2</v>
      </c>
      <c r="M5" s="77">
        <v>0.8</v>
      </c>
    </row>
    <row r="6" spans="1:13" x14ac:dyDescent="0.25">
      <c r="A6" s="70">
        <f t="shared" si="0"/>
        <v>5</v>
      </c>
      <c r="B6" s="14">
        <v>1</v>
      </c>
      <c r="C6" s="14">
        <v>0</v>
      </c>
      <c r="D6" s="14">
        <v>0</v>
      </c>
      <c r="E6" s="14">
        <v>0</v>
      </c>
      <c r="F6" s="14">
        <v>0</v>
      </c>
      <c r="G6" s="14">
        <v>1</v>
      </c>
      <c r="H6" s="14">
        <v>1</v>
      </c>
      <c r="I6" s="14">
        <v>0</v>
      </c>
      <c r="J6" s="50">
        <v>230</v>
      </c>
      <c r="K6" s="14">
        <v>1</v>
      </c>
      <c r="L6" s="14">
        <v>1.2</v>
      </c>
      <c r="M6" s="14">
        <v>0.8</v>
      </c>
    </row>
    <row r="7" spans="1:13" x14ac:dyDescent="0.25">
      <c r="A7" s="99">
        <f t="shared" si="0"/>
        <v>6</v>
      </c>
      <c r="B7" s="7">
        <v>1</v>
      </c>
      <c r="C7" s="7">
        <v>0</v>
      </c>
      <c r="D7" s="7">
        <v>0</v>
      </c>
      <c r="E7" s="7">
        <v>0</v>
      </c>
      <c r="F7" s="7">
        <v>0</v>
      </c>
      <c r="G7" s="7">
        <v>1</v>
      </c>
      <c r="H7" s="7">
        <v>1</v>
      </c>
      <c r="I7" s="7">
        <v>0</v>
      </c>
      <c r="J7" s="131">
        <v>230</v>
      </c>
      <c r="K7" s="7">
        <v>1</v>
      </c>
      <c r="L7" s="7">
        <v>1.2</v>
      </c>
      <c r="M7" s="7">
        <v>0.8</v>
      </c>
    </row>
    <row r="8" spans="1:13" x14ac:dyDescent="0.25">
      <c r="A8" s="99">
        <f t="shared" si="0"/>
        <v>7</v>
      </c>
      <c r="B8" s="7">
        <v>1</v>
      </c>
      <c r="C8" s="7">
        <v>0</v>
      </c>
      <c r="D8" s="7">
        <v>0</v>
      </c>
      <c r="E8" s="7">
        <v>0</v>
      </c>
      <c r="F8" s="7">
        <v>0</v>
      </c>
      <c r="G8" s="7">
        <v>1</v>
      </c>
      <c r="H8" s="7">
        <v>1</v>
      </c>
      <c r="I8" s="7">
        <v>0</v>
      </c>
      <c r="J8" s="131">
        <v>230</v>
      </c>
      <c r="K8" s="7">
        <v>1</v>
      </c>
      <c r="L8" s="7">
        <v>1.2</v>
      </c>
      <c r="M8" s="7">
        <v>0.8</v>
      </c>
    </row>
    <row r="9" spans="1:13" x14ac:dyDescent="0.25">
      <c r="A9" s="99">
        <f t="shared" si="0"/>
        <v>8</v>
      </c>
      <c r="B9" s="7">
        <v>1</v>
      </c>
      <c r="C9" s="7">
        <v>0</v>
      </c>
      <c r="D9" s="7">
        <v>0</v>
      </c>
      <c r="E9" s="7">
        <v>0</v>
      </c>
      <c r="F9" s="7">
        <v>0</v>
      </c>
      <c r="G9" s="7">
        <v>1</v>
      </c>
      <c r="H9" s="7">
        <v>1</v>
      </c>
      <c r="I9" s="7">
        <v>0</v>
      </c>
      <c r="J9" s="131">
        <v>230</v>
      </c>
      <c r="K9" s="7">
        <v>1</v>
      </c>
      <c r="L9" s="7">
        <v>1.2</v>
      </c>
      <c r="M9" s="7">
        <v>0.8</v>
      </c>
    </row>
    <row r="10" spans="1:13" x14ac:dyDescent="0.25">
      <c r="A10" s="99">
        <f t="shared" si="0"/>
        <v>9</v>
      </c>
      <c r="B10" s="8">
        <v>1</v>
      </c>
      <c r="C10" s="8">
        <v>0</v>
      </c>
      <c r="D10" s="8">
        <v>0</v>
      </c>
      <c r="E10" s="8">
        <v>0</v>
      </c>
      <c r="F10" s="8">
        <v>0</v>
      </c>
      <c r="G10" s="8">
        <v>1</v>
      </c>
      <c r="H10" s="8">
        <v>1</v>
      </c>
      <c r="I10" s="8">
        <v>0</v>
      </c>
      <c r="J10" s="104">
        <v>66</v>
      </c>
      <c r="K10" s="8">
        <v>1</v>
      </c>
      <c r="L10" s="8">
        <v>1.2</v>
      </c>
      <c r="M10" s="8">
        <v>0.8</v>
      </c>
    </row>
    <row r="11" spans="1:13" x14ac:dyDescent="0.25">
      <c r="A11" s="99">
        <f t="shared" si="0"/>
        <v>10</v>
      </c>
      <c r="B11" s="8">
        <v>1</v>
      </c>
      <c r="C11" s="8">
        <v>0</v>
      </c>
      <c r="D11" s="8">
        <v>0</v>
      </c>
      <c r="E11" s="8">
        <v>0</v>
      </c>
      <c r="F11" s="8">
        <v>0</v>
      </c>
      <c r="G11" s="8">
        <v>1</v>
      </c>
      <c r="H11" s="8">
        <v>1</v>
      </c>
      <c r="I11" s="8">
        <v>0</v>
      </c>
      <c r="J11" s="104">
        <v>66</v>
      </c>
      <c r="K11" s="8">
        <v>1</v>
      </c>
      <c r="L11" s="8">
        <v>1.2</v>
      </c>
      <c r="M11" s="8">
        <v>0.8</v>
      </c>
    </row>
    <row r="12" spans="1:13" x14ac:dyDescent="0.25">
      <c r="A12" s="99">
        <f t="shared" si="0"/>
        <v>11</v>
      </c>
      <c r="B12" s="8">
        <v>1</v>
      </c>
      <c r="C12" s="8">
        <v>0</v>
      </c>
      <c r="D12" s="8">
        <v>0</v>
      </c>
      <c r="E12" s="8">
        <v>0</v>
      </c>
      <c r="F12" s="8">
        <v>0</v>
      </c>
      <c r="G12" s="8">
        <v>1</v>
      </c>
      <c r="H12" s="8">
        <v>1</v>
      </c>
      <c r="I12" s="8">
        <v>0</v>
      </c>
      <c r="J12" s="104">
        <v>66</v>
      </c>
      <c r="K12" s="8">
        <v>1</v>
      </c>
      <c r="L12" s="8">
        <v>1.2</v>
      </c>
      <c r="M12" s="8">
        <v>0.8</v>
      </c>
    </row>
    <row r="13" spans="1:13" x14ac:dyDescent="0.25">
      <c r="A13" s="99">
        <f t="shared" si="0"/>
        <v>12</v>
      </c>
      <c r="B13" s="8">
        <v>1</v>
      </c>
      <c r="C13" s="8">
        <v>0</v>
      </c>
      <c r="D13" s="8">
        <v>0</v>
      </c>
      <c r="E13" s="8">
        <v>0</v>
      </c>
      <c r="F13" s="8">
        <v>0</v>
      </c>
      <c r="G13" s="8">
        <v>1</v>
      </c>
      <c r="H13" s="8">
        <v>1</v>
      </c>
      <c r="I13" s="8">
        <v>0</v>
      </c>
      <c r="J13" s="104">
        <v>66</v>
      </c>
      <c r="K13" s="8">
        <v>1</v>
      </c>
      <c r="L13" s="8">
        <v>1.2</v>
      </c>
      <c r="M13" s="8">
        <v>0.8</v>
      </c>
    </row>
    <row r="14" spans="1:13" x14ac:dyDescent="0.25">
      <c r="A14" s="99">
        <f t="shared" si="0"/>
        <v>13</v>
      </c>
      <c r="B14" s="8">
        <v>1</v>
      </c>
      <c r="C14" s="8">
        <v>0</v>
      </c>
      <c r="D14" s="8">
        <v>0</v>
      </c>
      <c r="E14" s="8">
        <v>0</v>
      </c>
      <c r="F14" s="8">
        <v>0</v>
      </c>
      <c r="G14" s="8">
        <v>1</v>
      </c>
      <c r="H14" s="8">
        <v>1</v>
      </c>
      <c r="I14" s="8">
        <v>0</v>
      </c>
      <c r="J14" s="104">
        <v>66</v>
      </c>
      <c r="K14" s="8">
        <v>1</v>
      </c>
      <c r="L14" s="8">
        <v>1.2</v>
      </c>
      <c r="M14" s="8">
        <v>0.8</v>
      </c>
    </row>
    <row r="15" spans="1:13" x14ac:dyDescent="0.25">
      <c r="A15" s="99">
        <f t="shared" si="0"/>
        <v>14</v>
      </c>
      <c r="B15" s="8">
        <v>1</v>
      </c>
      <c r="C15" s="8">
        <v>0</v>
      </c>
      <c r="D15" s="8">
        <v>0</v>
      </c>
      <c r="E15" s="8">
        <v>0</v>
      </c>
      <c r="F15" s="8">
        <v>0</v>
      </c>
      <c r="G15" s="8">
        <v>1</v>
      </c>
      <c r="H15" s="8">
        <v>1</v>
      </c>
      <c r="I15" s="8">
        <v>0</v>
      </c>
      <c r="J15" s="104">
        <v>66</v>
      </c>
      <c r="K15" s="8">
        <v>1</v>
      </c>
      <c r="L15" s="8">
        <v>1.2</v>
      </c>
      <c r="M15" s="8">
        <v>0.8</v>
      </c>
    </row>
    <row r="16" spans="1:13" x14ac:dyDescent="0.25">
      <c r="A16" s="99">
        <f t="shared" si="0"/>
        <v>15</v>
      </c>
      <c r="B16" s="8">
        <v>1</v>
      </c>
      <c r="C16" s="8">
        <v>0</v>
      </c>
      <c r="D16" s="8">
        <v>0</v>
      </c>
      <c r="E16" s="8">
        <v>0</v>
      </c>
      <c r="F16" s="8">
        <v>0</v>
      </c>
      <c r="G16" s="8">
        <v>1</v>
      </c>
      <c r="H16" s="8">
        <v>1</v>
      </c>
      <c r="I16" s="8">
        <v>0</v>
      </c>
      <c r="J16" s="104">
        <v>66</v>
      </c>
      <c r="K16" s="8">
        <v>1</v>
      </c>
      <c r="L16" s="8">
        <v>1.2</v>
      </c>
      <c r="M16" s="8">
        <v>0.8</v>
      </c>
    </row>
    <row r="17" spans="1:13" x14ac:dyDescent="0.25">
      <c r="A17" s="99">
        <f t="shared" si="0"/>
        <v>16</v>
      </c>
      <c r="B17" s="8">
        <v>1</v>
      </c>
      <c r="C17" s="8">
        <v>0</v>
      </c>
      <c r="D17" s="8">
        <v>0</v>
      </c>
      <c r="E17" s="8">
        <v>0</v>
      </c>
      <c r="F17" s="8">
        <v>0</v>
      </c>
      <c r="G17" s="8">
        <v>1</v>
      </c>
      <c r="H17" s="8">
        <v>1</v>
      </c>
      <c r="I17" s="8">
        <v>0</v>
      </c>
      <c r="J17" s="104">
        <v>66</v>
      </c>
      <c r="K17" s="8">
        <v>1</v>
      </c>
      <c r="L17" s="8">
        <v>1.2</v>
      </c>
      <c r="M17" s="8">
        <v>0.8</v>
      </c>
    </row>
    <row r="18" spans="1:13" x14ac:dyDescent="0.25">
      <c r="A18" s="99">
        <f t="shared" si="0"/>
        <v>17</v>
      </c>
      <c r="B18" s="8">
        <v>1</v>
      </c>
      <c r="C18" s="8">
        <v>0</v>
      </c>
      <c r="D18" s="8">
        <v>0</v>
      </c>
      <c r="E18" s="8">
        <v>0</v>
      </c>
      <c r="F18" s="8">
        <v>0</v>
      </c>
      <c r="G18" s="8">
        <v>1</v>
      </c>
      <c r="H18" s="8">
        <v>1</v>
      </c>
      <c r="I18" s="8">
        <v>0</v>
      </c>
      <c r="J18" s="104">
        <v>66</v>
      </c>
      <c r="K18" s="8">
        <v>1</v>
      </c>
      <c r="L18" s="8">
        <v>1.2</v>
      </c>
      <c r="M18" s="8">
        <v>0.8</v>
      </c>
    </row>
    <row r="19" spans="1:13" x14ac:dyDescent="0.25">
      <c r="A19" s="99">
        <f t="shared" si="0"/>
        <v>18</v>
      </c>
      <c r="B19" s="100">
        <v>1</v>
      </c>
      <c r="C19" s="100">
        <v>0</v>
      </c>
      <c r="D19" s="100">
        <v>0</v>
      </c>
      <c r="E19" s="100">
        <v>0</v>
      </c>
      <c r="F19" s="100">
        <v>0</v>
      </c>
      <c r="G19" s="100">
        <v>1</v>
      </c>
      <c r="H19" s="100">
        <v>1</v>
      </c>
      <c r="I19" s="100">
        <v>0</v>
      </c>
      <c r="J19" s="132">
        <v>66</v>
      </c>
      <c r="K19" s="100">
        <v>1</v>
      </c>
      <c r="L19" s="100">
        <v>1.2</v>
      </c>
      <c r="M19" s="100">
        <v>0.8</v>
      </c>
    </row>
    <row r="20" spans="1:13" x14ac:dyDescent="0.25">
      <c r="A20" s="99">
        <f t="shared" si="0"/>
        <v>19</v>
      </c>
      <c r="B20" s="8">
        <v>1</v>
      </c>
      <c r="C20" s="8">
        <v>0</v>
      </c>
      <c r="D20" s="8">
        <v>0</v>
      </c>
      <c r="E20" s="8">
        <v>0</v>
      </c>
      <c r="F20" s="8">
        <v>0</v>
      </c>
      <c r="G20" s="8">
        <v>1</v>
      </c>
      <c r="H20" s="8">
        <v>1</v>
      </c>
      <c r="I20" s="8">
        <v>0</v>
      </c>
      <c r="J20" s="104">
        <v>66</v>
      </c>
      <c r="K20" s="8">
        <v>1</v>
      </c>
      <c r="L20" s="8">
        <v>1.2</v>
      </c>
      <c r="M20" s="8">
        <v>0.8</v>
      </c>
    </row>
    <row r="21" spans="1:13" x14ac:dyDescent="0.25">
      <c r="A21" s="99">
        <f t="shared" si="0"/>
        <v>20</v>
      </c>
      <c r="B21" s="8">
        <v>1</v>
      </c>
      <c r="C21" s="8">
        <v>0</v>
      </c>
      <c r="D21" s="8">
        <v>0</v>
      </c>
      <c r="E21" s="8">
        <v>0</v>
      </c>
      <c r="F21" s="8">
        <v>0</v>
      </c>
      <c r="G21" s="8">
        <v>1</v>
      </c>
      <c r="H21" s="8">
        <v>1</v>
      </c>
      <c r="I21" s="8">
        <v>0</v>
      </c>
      <c r="J21" s="104">
        <v>66</v>
      </c>
      <c r="K21" s="8">
        <v>1</v>
      </c>
      <c r="L21" s="8">
        <v>1.2</v>
      </c>
      <c r="M21" s="8">
        <v>0.8</v>
      </c>
    </row>
    <row r="22" spans="1:13" x14ac:dyDescent="0.25">
      <c r="A22" s="99">
        <f t="shared" si="0"/>
        <v>21</v>
      </c>
      <c r="B22" s="8">
        <v>1</v>
      </c>
      <c r="C22" s="8">
        <v>0</v>
      </c>
      <c r="D22" s="8">
        <v>0</v>
      </c>
      <c r="E22" s="8">
        <v>0</v>
      </c>
      <c r="F22" s="8">
        <v>0</v>
      </c>
      <c r="G22" s="8">
        <v>1</v>
      </c>
      <c r="H22" s="8">
        <v>1</v>
      </c>
      <c r="I22" s="8">
        <v>0</v>
      </c>
      <c r="J22" s="6">
        <v>22</v>
      </c>
      <c r="K22" s="8">
        <v>1</v>
      </c>
      <c r="L22" s="8">
        <v>1.2</v>
      </c>
      <c r="M22" s="8">
        <v>0.8</v>
      </c>
    </row>
    <row r="23" spans="1:13" x14ac:dyDescent="0.25">
      <c r="A23" s="99">
        <f t="shared" si="0"/>
        <v>22</v>
      </c>
      <c r="B23" s="8">
        <v>1</v>
      </c>
      <c r="C23" s="8">
        <v>0</v>
      </c>
      <c r="D23" s="8">
        <v>0</v>
      </c>
      <c r="E23" s="8">
        <v>0</v>
      </c>
      <c r="F23" s="8">
        <v>0</v>
      </c>
      <c r="G23" s="8">
        <v>1</v>
      </c>
      <c r="H23" s="8">
        <v>1</v>
      </c>
      <c r="I23" s="8">
        <v>0</v>
      </c>
      <c r="J23" s="6">
        <v>22</v>
      </c>
      <c r="K23" s="8">
        <v>1</v>
      </c>
      <c r="L23" s="8">
        <v>1.2</v>
      </c>
      <c r="M23" s="8">
        <v>0.8</v>
      </c>
    </row>
    <row r="24" spans="1:13" x14ac:dyDescent="0.25">
      <c r="A24" s="99">
        <f t="shared" si="0"/>
        <v>23</v>
      </c>
      <c r="B24" s="8">
        <v>1</v>
      </c>
      <c r="C24" s="8">
        <v>0</v>
      </c>
      <c r="D24" s="8">
        <v>0</v>
      </c>
      <c r="E24" s="8">
        <v>0</v>
      </c>
      <c r="F24" s="8">
        <v>0</v>
      </c>
      <c r="G24" s="8">
        <v>1</v>
      </c>
      <c r="H24" s="8">
        <v>1</v>
      </c>
      <c r="I24" s="8">
        <v>0</v>
      </c>
      <c r="J24" s="6">
        <v>22</v>
      </c>
      <c r="K24" s="8">
        <v>1</v>
      </c>
      <c r="L24" s="8">
        <v>1.2</v>
      </c>
      <c r="M24" s="8">
        <v>0.8</v>
      </c>
    </row>
    <row r="25" spans="1:13" x14ac:dyDescent="0.25">
      <c r="A25" s="99">
        <f t="shared" si="0"/>
        <v>24</v>
      </c>
      <c r="B25" s="8">
        <v>1</v>
      </c>
      <c r="C25" s="8">
        <v>0</v>
      </c>
      <c r="D25" s="8">
        <v>0</v>
      </c>
      <c r="E25" s="8">
        <v>0</v>
      </c>
      <c r="F25" s="8">
        <v>0</v>
      </c>
      <c r="G25" s="8">
        <v>1</v>
      </c>
      <c r="H25" s="8">
        <v>1</v>
      </c>
      <c r="I25" s="8">
        <v>0</v>
      </c>
      <c r="J25" s="6">
        <v>22</v>
      </c>
      <c r="K25" s="8">
        <v>1</v>
      </c>
      <c r="L25" s="8">
        <v>1.2</v>
      </c>
      <c r="M25" s="8">
        <v>0.8</v>
      </c>
    </row>
    <row r="26" spans="1:13" x14ac:dyDescent="0.25">
      <c r="A26" s="99">
        <f t="shared" si="0"/>
        <v>25</v>
      </c>
      <c r="B26" s="8">
        <v>1</v>
      </c>
      <c r="C26" s="8">
        <v>0</v>
      </c>
      <c r="D26" s="8">
        <v>0</v>
      </c>
      <c r="E26" s="8">
        <v>0</v>
      </c>
      <c r="F26" s="8">
        <v>0</v>
      </c>
      <c r="G26" s="8">
        <v>1</v>
      </c>
      <c r="H26" s="8">
        <v>1</v>
      </c>
      <c r="I26" s="8">
        <v>0</v>
      </c>
      <c r="J26" s="6">
        <v>22</v>
      </c>
      <c r="K26" s="8">
        <v>1</v>
      </c>
      <c r="L26" s="8">
        <v>1.2</v>
      </c>
      <c r="M26" s="8">
        <v>0.8</v>
      </c>
    </row>
    <row r="27" spans="1:13" x14ac:dyDescent="0.25">
      <c r="A27" s="99">
        <f t="shared" si="0"/>
        <v>26</v>
      </c>
      <c r="B27" s="8">
        <v>1</v>
      </c>
      <c r="C27" s="8">
        <v>0</v>
      </c>
      <c r="D27" s="8">
        <v>0</v>
      </c>
      <c r="E27" s="8">
        <v>0</v>
      </c>
      <c r="F27" s="8">
        <v>0</v>
      </c>
      <c r="G27" s="8">
        <v>1</v>
      </c>
      <c r="H27" s="8">
        <v>1</v>
      </c>
      <c r="I27" s="8">
        <v>0</v>
      </c>
      <c r="J27" s="6">
        <v>22</v>
      </c>
      <c r="K27" s="8">
        <v>1</v>
      </c>
      <c r="L27" s="8">
        <v>1.2</v>
      </c>
      <c r="M27" s="8">
        <v>0.8</v>
      </c>
    </row>
    <row r="28" spans="1:13" x14ac:dyDescent="0.25">
      <c r="A28" s="99">
        <f t="shared" si="0"/>
        <v>27</v>
      </c>
      <c r="B28" s="100">
        <v>1</v>
      </c>
      <c r="C28" s="100">
        <v>0</v>
      </c>
      <c r="D28" s="100">
        <v>0</v>
      </c>
      <c r="E28" s="100">
        <v>0</v>
      </c>
      <c r="F28" s="100">
        <v>0</v>
      </c>
      <c r="G28" s="100">
        <v>1</v>
      </c>
      <c r="H28" s="100">
        <v>1</v>
      </c>
      <c r="I28" s="100">
        <v>0</v>
      </c>
      <c r="J28" s="99">
        <v>22</v>
      </c>
      <c r="K28" s="100">
        <v>1</v>
      </c>
      <c r="L28" s="100">
        <v>1.2</v>
      </c>
      <c r="M28" s="100">
        <v>0.8</v>
      </c>
    </row>
    <row r="29" spans="1:13" x14ac:dyDescent="0.25">
      <c r="A29" s="99">
        <f t="shared" si="0"/>
        <v>28</v>
      </c>
      <c r="B29" s="8">
        <v>1</v>
      </c>
      <c r="C29" s="8">
        <v>0</v>
      </c>
      <c r="D29" s="8">
        <v>0</v>
      </c>
      <c r="E29" s="8">
        <v>0</v>
      </c>
      <c r="F29" s="8">
        <v>0</v>
      </c>
      <c r="G29" s="8">
        <v>1</v>
      </c>
      <c r="H29" s="8">
        <v>1</v>
      </c>
      <c r="I29" s="8">
        <v>0</v>
      </c>
      <c r="J29" s="6">
        <v>22</v>
      </c>
      <c r="K29" s="8">
        <v>1</v>
      </c>
      <c r="L29" s="8">
        <v>1.2</v>
      </c>
      <c r="M29" s="8">
        <v>0.8</v>
      </c>
    </row>
    <row r="30" spans="1:13" x14ac:dyDescent="0.25">
      <c r="A30" s="99">
        <f t="shared" si="0"/>
        <v>29</v>
      </c>
      <c r="B30" s="8">
        <v>1</v>
      </c>
      <c r="C30" s="8">
        <v>0</v>
      </c>
      <c r="D30" s="8">
        <v>0</v>
      </c>
      <c r="E30" s="8">
        <v>0</v>
      </c>
      <c r="F30" s="8">
        <v>0</v>
      </c>
      <c r="G30" s="8">
        <v>1</v>
      </c>
      <c r="H30" s="8">
        <v>1</v>
      </c>
      <c r="I30" s="8">
        <v>0</v>
      </c>
      <c r="J30" s="6">
        <v>22</v>
      </c>
      <c r="K30" s="8">
        <v>1</v>
      </c>
      <c r="L30" s="8">
        <v>1.2</v>
      </c>
      <c r="M30" s="8">
        <v>0.8</v>
      </c>
    </row>
    <row r="31" spans="1:13" x14ac:dyDescent="0.25">
      <c r="A31" s="99">
        <f t="shared" si="0"/>
        <v>30</v>
      </c>
      <c r="B31" s="8">
        <v>1</v>
      </c>
      <c r="C31" s="8">
        <v>13.479345081851799</v>
      </c>
      <c r="D31" s="8">
        <v>6.5808248847965665</v>
      </c>
      <c r="E31" s="8">
        <v>0</v>
      </c>
      <c r="F31" s="8">
        <v>0</v>
      </c>
      <c r="G31" s="8">
        <v>1</v>
      </c>
      <c r="H31" s="8">
        <v>1</v>
      </c>
      <c r="I31" s="8">
        <v>0</v>
      </c>
      <c r="J31" s="6">
        <v>22</v>
      </c>
      <c r="K31" s="8">
        <v>1</v>
      </c>
      <c r="L31" s="8">
        <v>1.2</v>
      </c>
      <c r="M31" s="8">
        <v>0.8</v>
      </c>
    </row>
    <row r="32" spans="1:13" x14ac:dyDescent="0.25">
      <c r="A32" s="99">
        <f t="shared" si="0"/>
        <v>31</v>
      </c>
      <c r="B32" s="8">
        <v>1</v>
      </c>
      <c r="C32" s="8">
        <v>0.89815720715068337</v>
      </c>
      <c r="D32" s="8">
        <v>0.43967446053106668</v>
      </c>
      <c r="E32" s="8">
        <v>0</v>
      </c>
      <c r="F32" s="8">
        <v>0</v>
      </c>
      <c r="G32" s="8">
        <v>1</v>
      </c>
      <c r="H32" s="8">
        <v>1</v>
      </c>
      <c r="I32" s="8">
        <v>0</v>
      </c>
      <c r="J32" s="6">
        <v>22</v>
      </c>
      <c r="K32" s="8">
        <v>1</v>
      </c>
      <c r="L32" s="8">
        <v>1.2</v>
      </c>
      <c r="M32" s="8">
        <v>0.8</v>
      </c>
    </row>
    <row r="33" spans="1:13" x14ac:dyDescent="0.25">
      <c r="A33" s="99">
        <f t="shared" si="0"/>
        <v>32</v>
      </c>
      <c r="B33" s="8">
        <v>1</v>
      </c>
      <c r="C33" s="8">
        <v>0</v>
      </c>
      <c r="D33" s="8">
        <v>0</v>
      </c>
      <c r="E33" s="8">
        <v>0</v>
      </c>
      <c r="F33" s="8">
        <v>0</v>
      </c>
      <c r="G33" s="8">
        <v>1</v>
      </c>
      <c r="H33" s="8">
        <v>1</v>
      </c>
      <c r="I33" s="8">
        <v>0</v>
      </c>
      <c r="J33" s="6">
        <v>22</v>
      </c>
      <c r="K33" s="8">
        <v>1</v>
      </c>
      <c r="L33" s="8">
        <v>1.2</v>
      </c>
      <c r="M33" s="8">
        <v>0.8</v>
      </c>
    </row>
    <row r="34" spans="1:13" x14ac:dyDescent="0.25">
      <c r="A34" s="99">
        <f t="shared" si="0"/>
        <v>33</v>
      </c>
      <c r="B34" s="8">
        <v>1</v>
      </c>
      <c r="C34" s="8">
        <v>2.6423250866971801</v>
      </c>
      <c r="D34" s="8">
        <v>1.4206048487213958</v>
      </c>
      <c r="E34" s="8">
        <v>0</v>
      </c>
      <c r="F34" s="8">
        <v>0</v>
      </c>
      <c r="G34" s="8">
        <v>1</v>
      </c>
      <c r="H34" s="8">
        <v>1</v>
      </c>
      <c r="I34" s="8">
        <v>0</v>
      </c>
      <c r="J34" s="6">
        <v>22</v>
      </c>
      <c r="K34" s="8">
        <v>1</v>
      </c>
      <c r="L34" s="8">
        <v>1.2</v>
      </c>
      <c r="M34" s="8">
        <v>0.8</v>
      </c>
    </row>
    <row r="35" spans="1:13" x14ac:dyDescent="0.25">
      <c r="A35" s="99">
        <f t="shared" si="0"/>
        <v>34</v>
      </c>
      <c r="B35" s="8">
        <v>1</v>
      </c>
      <c r="C35" s="8">
        <v>5.4050669123113213</v>
      </c>
      <c r="D35" s="8">
        <v>2.6048515645689601</v>
      </c>
      <c r="E35" s="8">
        <v>0</v>
      </c>
      <c r="F35" s="8">
        <v>0</v>
      </c>
      <c r="G35" s="8">
        <v>1</v>
      </c>
      <c r="H35" s="8">
        <v>1</v>
      </c>
      <c r="I35" s="8">
        <v>0</v>
      </c>
      <c r="J35" s="6">
        <v>22</v>
      </c>
      <c r="K35" s="8">
        <v>1</v>
      </c>
      <c r="L35" s="8">
        <v>1.2</v>
      </c>
      <c r="M35" s="8">
        <v>0.8</v>
      </c>
    </row>
    <row r="36" spans="1:13" x14ac:dyDescent="0.25">
      <c r="A36" s="99">
        <f t="shared" si="0"/>
        <v>35</v>
      </c>
      <c r="B36" s="8">
        <v>1</v>
      </c>
      <c r="C36" s="8">
        <v>10.343210784284185</v>
      </c>
      <c r="D36" s="8">
        <v>6.0842411746960963</v>
      </c>
      <c r="E36" s="8">
        <v>0</v>
      </c>
      <c r="F36" s="8">
        <v>0</v>
      </c>
      <c r="G36" s="8">
        <v>1</v>
      </c>
      <c r="H36" s="8">
        <v>1</v>
      </c>
      <c r="I36" s="8">
        <v>0</v>
      </c>
      <c r="J36" s="6">
        <v>22</v>
      </c>
      <c r="K36" s="8">
        <v>1</v>
      </c>
      <c r="L36" s="8">
        <v>1.2</v>
      </c>
      <c r="M36" s="8">
        <v>0.8</v>
      </c>
    </row>
    <row r="37" spans="1:13" x14ac:dyDescent="0.25">
      <c r="A37" s="99">
        <f t="shared" si="0"/>
        <v>36</v>
      </c>
      <c r="B37" s="8">
        <v>1</v>
      </c>
      <c r="C37" s="8">
        <v>0</v>
      </c>
      <c r="D37" s="8">
        <v>0</v>
      </c>
      <c r="E37" s="8">
        <v>0</v>
      </c>
      <c r="F37" s="8">
        <v>0</v>
      </c>
      <c r="G37" s="8">
        <v>1</v>
      </c>
      <c r="H37" s="8">
        <v>1</v>
      </c>
      <c r="I37" s="8">
        <v>0</v>
      </c>
      <c r="J37" s="6">
        <v>22</v>
      </c>
      <c r="K37" s="8">
        <v>1</v>
      </c>
      <c r="L37" s="8">
        <v>1.2</v>
      </c>
      <c r="M37" s="8">
        <v>0.8</v>
      </c>
    </row>
    <row r="38" spans="1:13" x14ac:dyDescent="0.25">
      <c r="A38" s="99">
        <f t="shared" si="0"/>
        <v>37</v>
      </c>
      <c r="B38" s="8">
        <v>1</v>
      </c>
      <c r="C38" s="8">
        <v>1.6464255681341724</v>
      </c>
      <c r="D38" s="8">
        <v>1.1354659169671573</v>
      </c>
      <c r="E38" s="8">
        <v>0</v>
      </c>
      <c r="F38" s="8">
        <v>0</v>
      </c>
      <c r="G38" s="8">
        <v>1</v>
      </c>
      <c r="H38" s="8">
        <v>1</v>
      </c>
      <c r="I38" s="8">
        <v>0</v>
      </c>
      <c r="J38" s="6">
        <v>22</v>
      </c>
      <c r="K38" s="8">
        <v>1</v>
      </c>
      <c r="L38" s="8">
        <v>1.2</v>
      </c>
      <c r="M38" s="8">
        <v>0.8</v>
      </c>
    </row>
    <row r="39" spans="1:13" x14ac:dyDescent="0.25">
      <c r="A39" s="99">
        <f t="shared" si="0"/>
        <v>38</v>
      </c>
      <c r="B39" s="8">
        <v>1</v>
      </c>
      <c r="C39" s="8">
        <v>5.3426900617028226</v>
      </c>
      <c r="D39" s="8">
        <v>2.7305059795909417</v>
      </c>
      <c r="E39" s="8">
        <v>0</v>
      </c>
      <c r="F39" s="8">
        <v>0</v>
      </c>
      <c r="G39" s="8">
        <v>1</v>
      </c>
      <c r="H39" s="8">
        <v>1</v>
      </c>
      <c r="I39" s="8">
        <v>0</v>
      </c>
      <c r="J39" s="6">
        <v>22</v>
      </c>
      <c r="K39" s="8">
        <v>1</v>
      </c>
      <c r="L39" s="8">
        <v>1.2</v>
      </c>
      <c r="M39" s="8">
        <v>0.8</v>
      </c>
    </row>
    <row r="40" spans="1:13" x14ac:dyDescent="0.25">
      <c r="A40" s="99">
        <f t="shared" si="0"/>
        <v>39</v>
      </c>
      <c r="B40" s="8">
        <v>1</v>
      </c>
      <c r="C40" s="8">
        <v>0.8657687210779712</v>
      </c>
      <c r="D40" s="8">
        <v>0.50044432417903806</v>
      </c>
      <c r="E40" s="8">
        <v>0</v>
      </c>
      <c r="F40" s="8">
        <v>0</v>
      </c>
      <c r="G40" s="8">
        <v>1</v>
      </c>
      <c r="H40" s="8">
        <v>1</v>
      </c>
      <c r="I40" s="8">
        <v>0</v>
      </c>
      <c r="J40" s="6">
        <v>22</v>
      </c>
      <c r="K40" s="8">
        <v>1</v>
      </c>
      <c r="L40" s="8">
        <v>1.2</v>
      </c>
      <c r="M40" s="8">
        <v>0.8</v>
      </c>
    </row>
    <row r="41" spans="1:13" x14ac:dyDescent="0.25">
      <c r="A41" s="99">
        <f t="shared" si="0"/>
        <v>40</v>
      </c>
      <c r="B41" s="8">
        <v>1</v>
      </c>
      <c r="C41" s="8">
        <v>4.5602211511358668</v>
      </c>
      <c r="D41" s="8">
        <v>2.0504592297173505</v>
      </c>
      <c r="E41" s="8">
        <v>0</v>
      </c>
      <c r="F41" s="8">
        <v>0</v>
      </c>
      <c r="G41" s="8">
        <v>1</v>
      </c>
      <c r="H41" s="8">
        <v>1</v>
      </c>
      <c r="I41" s="8">
        <v>0</v>
      </c>
      <c r="J41" s="6">
        <v>22</v>
      </c>
      <c r="K41" s="8">
        <v>1</v>
      </c>
      <c r="L41" s="8">
        <v>1.2</v>
      </c>
      <c r="M41" s="8">
        <v>0.8</v>
      </c>
    </row>
    <row r="42" spans="1:13" x14ac:dyDescent="0.25">
      <c r="A42" s="99">
        <f t="shared" si="0"/>
        <v>41</v>
      </c>
      <c r="B42" s="8">
        <v>1</v>
      </c>
      <c r="C42" s="8">
        <v>1.8</v>
      </c>
      <c r="D42" s="8">
        <v>0.87177978870813455</v>
      </c>
      <c r="E42" s="8">
        <v>0</v>
      </c>
      <c r="F42" s="8">
        <v>0</v>
      </c>
      <c r="G42" s="8">
        <v>1</v>
      </c>
      <c r="H42" s="8">
        <v>1</v>
      </c>
      <c r="I42" s="8">
        <v>0</v>
      </c>
      <c r="J42" s="6">
        <v>22</v>
      </c>
      <c r="K42" s="8">
        <v>1</v>
      </c>
      <c r="L42" s="8">
        <v>1.2</v>
      </c>
      <c r="M42" s="8">
        <v>0.8</v>
      </c>
    </row>
    <row r="43" spans="1:13" x14ac:dyDescent="0.25">
      <c r="A43" s="99">
        <f t="shared" si="0"/>
        <v>42</v>
      </c>
      <c r="B43" s="8">
        <v>1</v>
      </c>
      <c r="C43" s="8">
        <v>0</v>
      </c>
      <c r="D43" s="8">
        <v>0</v>
      </c>
      <c r="E43" s="8">
        <v>0</v>
      </c>
      <c r="F43" s="8">
        <v>0</v>
      </c>
      <c r="G43" s="8">
        <v>1</v>
      </c>
      <c r="H43" s="8">
        <v>1</v>
      </c>
      <c r="I43" s="8">
        <v>0</v>
      </c>
      <c r="J43" s="6">
        <v>22</v>
      </c>
      <c r="K43" s="8">
        <v>1</v>
      </c>
      <c r="L43" s="8">
        <v>1.2</v>
      </c>
      <c r="M43" s="8">
        <v>0.8</v>
      </c>
    </row>
    <row r="44" spans="1:13" x14ac:dyDescent="0.25">
      <c r="A44" s="99">
        <f t="shared" si="0"/>
        <v>43</v>
      </c>
      <c r="B44" s="8">
        <v>1</v>
      </c>
      <c r="C44" s="8">
        <v>0</v>
      </c>
      <c r="D44" s="8">
        <v>0</v>
      </c>
      <c r="E44" s="8">
        <v>0</v>
      </c>
      <c r="F44" s="8">
        <v>0</v>
      </c>
      <c r="G44" s="8">
        <v>1</v>
      </c>
      <c r="H44" s="8">
        <v>1</v>
      </c>
      <c r="I44" s="8">
        <v>0</v>
      </c>
      <c r="J44" s="6">
        <v>22</v>
      </c>
      <c r="K44" s="8">
        <v>1</v>
      </c>
      <c r="L44" s="8">
        <v>1.2</v>
      </c>
      <c r="M44" s="8">
        <v>0.8</v>
      </c>
    </row>
    <row r="45" spans="1:13" x14ac:dyDescent="0.25">
      <c r="A45" s="99">
        <f t="shared" si="0"/>
        <v>44</v>
      </c>
      <c r="B45" s="8">
        <v>1</v>
      </c>
      <c r="C45" s="8">
        <v>1.7483145434465239</v>
      </c>
      <c r="D45" s="8">
        <v>0.97128587819105694</v>
      </c>
      <c r="E45" s="8">
        <v>0</v>
      </c>
      <c r="F45" s="8">
        <v>0</v>
      </c>
      <c r="G45" s="8">
        <v>1</v>
      </c>
      <c r="H45" s="8">
        <v>1</v>
      </c>
      <c r="I45" s="8">
        <v>0</v>
      </c>
      <c r="J45" s="105">
        <v>230</v>
      </c>
      <c r="K45" s="8">
        <v>1</v>
      </c>
      <c r="L45" s="8">
        <v>1.2</v>
      </c>
      <c r="M45" s="8">
        <v>0.8</v>
      </c>
    </row>
    <row r="46" spans="1:13" x14ac:dyDescent="0.25">
      <c r="A46" s="99">
        <f t="shared" si="0"/>
        <v>45</v>
      </c>
      <c r="B46" s="8">
        <v>1</v>
      </c>
      <c r="C46" s="8">
        <v>181.41404006790302</v>
      </c>
      <c r="D46" s="8">
        <v>84.195879152374687</v>
      </c>
      <c r="E46" s="8">
        <v>0</v>
      </c>
      <c r="F46" s="8">
        <v>0</v>
      </c>
      <c r="G46" s="8">
        <v>1</v>
      </c>
      <c r="H46" s="8">
        <v>1</v>
      </c>
      <c r="I46" s="8">
        <v>0</v>
      </c>
      <c r="J46" s="105">
        <v>230</v>
      </c>
      <c r="K46" s="8">
        <v>1</v>
      </c>
      <c r="L46" s="8">
        <v>1.2</v>
      </c>
      <c r="M46" s="8">
        <v>0.8</v>
      </c>
    </row>
    <row r="47" spans="1:13" x14ac:dyDescent="0.25">
      <c r="A47" s="99">
        <f t="shared" si="0"/>
        <v>46</v>
      </c>
      <c r="B47" s="8">
        <v>1</v>
      </c>
      <c r="C47" s="8">
        <v>3.580084390596959</v>
      </c>
      <c r="D47" s="8">
        <v>1.7840952206101559</v>
      </c>
      <c r="E47" s="8">
        <v>0</v>
      </c>
      <c r="F47" s="8">
        <v>0</v>
      </c>
      <c r="G47" s="8">
        <v>1</v>
      </c>
      <c r="H47" s="8">
        <v>1</v>
      </c>
      <c r="I47" s="8">
        <v>0</v>
      </c>
      <c r="J47" s="6">
        <v>22</v>
      </c>
      <c r="K47" s="8">
        <v>1</v>
      </c>
      <c r="L47" s="8">
        <v>1.2</v>
      </c>
      <c r="M47" s="8">
        <v>0.8</v>
      </c>
    </row>
    <row r="48" spans="1:13" x14ac:dyDescent="0.25">
      <c r="A48" s="99">
        <f t="shared" si="0"/>
        <v>47</v>
      </c>
      <c r="B48" s="8">
        <v>1</v>
      </c>
      <c r="C48" s="8">
        <v>0</v>
      </c>
      <c r="D48" s="8">
        <v>0</v>
      </c>
      <c r="E48" s="8">
        <v>0</v>
      </c>
      <c r="F48" s="8">
        <v>0</v>
      </c>
      <c r="G48" s="8">
        <v>1</v>
      </c>
      <c r="H48" s="8">
        <v>1</v>
      </c>
      <c r="I48" s="8">
        <v>0</v>
      </c>
      <c r="J48" s="6">
        <v>22</v>
      </c>
      <c r="K48" s="8">
        <v>1</v>
      </c>
      <c r="L48" s="8">
        <v>1.2</v>
      </c>
      <c r="M48" s="8">
        <v>0.8</v>
      </c>
    </row>
    <row r="49" spans="1:13" x14ac:dyDescent="0.25">
      <c r="A49" s="99">
        <f t="shared" si="0"/>
        <v>48</v>
      </c>
      <c r="B49" s="8">
        <v>1</v>
      </c>
      <c r="C49" s="8">
        <v>2.6857076705092644</v>
      </c>
      <c r="D49" s="8">
        <v>1.3367775838065583</v>
      </c>
      <c r="E49" s="8">
        <v>0</v>
      </c>
      <c r="F49" s="8">
        <v>0</v>
      </c>
      <c r="G49" s="8">
        <v>1</v>
      </c>
      <c r="H49" s="8">
        <v>1</v>
      </c>
      <c r="I49" s="8">
        <v>0</v>
      </c>
      <c r="J49" s="6">
        <v>22</v>
      </c>
      <c r="K49" s="8">
        <v>1</v>
      </c>
      <c r="L49" s="8">
        <v>1.2</v>
      </c>
      <c r="M49" s="8">
        <v>0.8</v>
      </c>
    </row>
    <row r="50" spans="1:13" x14ac:dyDescent="0.25">
      <c r="A50" s="99">
        <f t="shared" si="0"/>
        <v>49</v>
      </c>
      <c r="B50" s="8">
        <v>1</v>
      </c>
      <c r="C50" s="8">
        <v>0</v>
      </c>
      <c r="D50" s="8">
        <v>0</v>
      </c>
      <c r="E50" s="8">
        <v>0</v>
      </c>
      <c r="F50" s="8">
        <v>0</v>
      </c>
      <c r="G50" s="8">
        <v>1</v>
      </c>
      <c r="H50" s="8">
        <v>1</v>
      </c>
      <c r="I50" s="8">
        <v>0</v>
      </c>
      <c r="J50" s="6">
        <v>22</v>
      </c>
      <c r="K50" s="8">
        <v>1</v>
      </c>
      <c r="L50" s="8">
        <v>1.2</v>
      </c>
      <c r="M50" s="8">
        <v>0.8</v>
      </c>
    </row>
    <row r="51" spans="1:13" x14ac:dyDescent="0.25">
      <c r="A51" s="99">
        <f t="shared" si="0"/>
        <v>50</v>
      </c>
      <c r="B51" s="8">
        <v>1</v>
      </c>
      <c r="C51" s="8">
        <v>0</v>
      </c>
      <c r="D51" s="8">
        <v>0</v>
      </c>
      <c r="E51" s="8">
        <v>0</v>
      </c>
      <c r="F51" s="8">
        <v>0</v>
      </c>
      <c r="G51" s="8">
        <v>1</v>
      </c>
      <c r="H51" s="8">
        <v>1</v>
      </c>
      <c r="I51" s="8">
        <v>0</v>
      </c>
      <c r="J51" s="6">
        <v>22</v>
      </c>
      <c r="K51" s="8">
        <v>1</v>
      </c>
      <c r="L51" s="8">
        <v>1.2</v>
      </c>
      <c r="M51" s="8">
        <v>0.8</v>
      </c>
    </row>
    <row r="52" spans="1:13" x14ac:dyDescent="0.25">
      <c r="A52" s="99">
        <f t="shared" si="0"/>
        <v>51</v>
      </c>
      <c r="B52" s="8">
        <v>1</v>
      </c>
      <c r="C52" s="8">
        <v>9.3000000000000007</v>
      </c>
      <c r="D52" s="8">
        <v>3.6755951898978201</v>
      </c>
      <c r="E52" s="8">
        <v>0</v>
      </c>
      <c r="F52" s="8">
        <v>0</v>
      </c>
      <c r="G52" s="8">
        <v>1</v>
      </c>
      <c r="H52" s="8">
        <v>1</v>
      </c>
      <c r="I52" s="8">
        <v>0</v>
      </c>
      <c r="J52" s="6">
        <v>22</v>
      </c>
      <c r="K52" s="8">
        <v>1</v>
      </c>
      <c r="L52" s="8">
        <v>1.2</v>
      </c>
      <c r="M52" s="8">
        <v>0.8</v>
      </c>
    </row>
    <row r="53" spans="1:13" x14ac:dyDescent="0.25">
      <c r="A53" s="99">
        <f t="shared" si="0"/>
        <v>52</v>
      </c>
      <c r="B53" s="8">
        <v>1</v>
      </c>
      <c r="C53" s="8">
        <v>4.4851545824224397</v>
      </c>
      <c r="D53" s="8">
        <v>2.2098389922740957</v>
      </c>
      <c r="E53" s="8">
        <v>0</v>
      </c>
      <c r="F53" s="8">
        <v>0</v>
      </c>
      <c r="G53" s="8">
        <v>1</v>
      </c>
      <c r="H53" s="8">
        <v>1</v>
      </c>
      <c r="I53" s="8">
        <v>0</v>
      </c>
      <c r="J53" s="6">
        <v>22</v>
      </c>
      <c r="K53" s="8">
        <v>1</v>
      </c>
      <c r="L53" s="8">
        <v>1.2</v>
      </c>
      <c r="M53" s="8">
        <v>0.8</v>
      </c>
    </row>
    <row r="54" spans="1:13" x14ac:dyDescent="0.25">
      <c r="A54" s="99">
        <f t="shared" si="0"/>
        <v>53</v>
      </c>
      <c r="B54" s="8">
        <v>1</v>
      </c>
      <c r="C54" s="8">
        <v>2.6992026273929062</v>
      </c>
      <c r="D54" s="8">
        <v>1.309314773564872</v>
      </c>
      <c r="E54" s="8">
        <v>0</v>
      </c>
      <c r="F54" s="8">
        <v>0</v>
      </c>
      <c r="G54" s="8">
        <v>1</v>
      </c>
      <c r="H54" s="8">
        <v>1</v>
      </c>
      <c r="I54" s="8">
        <v>0</v>
      </c>
      <c r="J54" s="6">
        <v>22</v>
      </c>
      <c r="K54" s="8">
        <v>1</v>
      </c>
      <c r="L54" s="8">
        <v>1.2</v>
      </c>
      <c r="M54" s="8">
        <v>0.8</v>
      </c>
    </row>
    <row r="55" spans="1:13" x14ac:dyDescent="0.25">
      <c r="A55" s="99">
        <f t="shared" si="0"/>
        <v>54</v>
      </c>
      <c r="B55" s="8">
        <v>1</v>
      </c>
      <c r="C55" s="8">
        <v>0</v>
      </c>
      <c r="D55" s="8">
        <v>0</v>
      </c>
      <c r="E55" s="8">
        <v>0</v>
      </c>
      <c r="F55" s="8">
        <v>0</v>
      </c>
      <c r="G55" s="8">
        <v>1</v>
      </c>
      <c r="H55" s="8">
        <v>1</v>
      </c>
      <c r="I55" s="8">
        <v>0</v>
      </c>
      <c r="J55" s="6">
        <v>22</v>
      </c>
      <c r="K55" s="8">
        <v>1</v>
      </c>
      <c r="L55" s="8">
        <v>1.2</v>
      </c>
      <c r="M55" s="8">
        <v>0.8</v>
      </c>
    </row>
    <row r="56" spans="1:13" x14ac:dyDescent="0.25">
      <c r="A56" s="99">
        <f t="shared" si="0"/>
        <v>55</v>
      </c>
      <c r="B56" s="8">
        <v>1</v>
      </c>
      <c r="C56" s="8">
        <v>0</v>
      </c>
      <c r="D56" s="8">
        <v>0</v>
      </c>
      <c r="E56" s="8">
        <v>0</v>
      </c>
      <c r="F56" s="8">
        <v>0</v>
      </c>
      <c r="G56" s="8">
        <v>1</v>
      </c>
      <c r="H56" s="8">
        <v>1</v>
      </c>
      <c r="I56" s="8">
        <v>0</v>
      </c>
      <c r="J56" s="6">
        <v>22</v>
      </c>
      <c r="K56" s="8">
        <v>1</v>
      </c>
      <c r="L56" s="8">
        <v>1.2</v>
      </c>
      <c r="M56" s="8">
        <v>0.8</v>
      </c>
    </row>
    <row r="57" spans="1:13" x14ac:dyDescent="0.25">
      <c r="A57" s="99">
        <f t="shared" si="0"/>
        <v>56</v>
      </c>
      <c r="B57" s="8">
        <v>1</v>
      </c>
      <c r="C57" s="8">
        <v>2.6877093501093228</v>
      </c>
      <c r="D57" s="8">
        <v>1.3327484568870911</v>
      </c>
      <c r="E57" s="8">
        <v>0</v>
      </c>
      <c r="F57" s="8">
        <v>0</v>
      </c>
      <c r="G57" s="8">
        <v>1</v>
      </c>
      <c r="H57" s="8">
        <v>1</v>
      </c>
      <c r="I57" s="8">
        <v>0</v>
      </c>
      <c r="J57" s="6">
        <v>22</v>
      </c>
      <c r="K57" s="8">
        <v>1</v>
      </c>
      <c r="L57" s="8">
        <v>1.2</v>
      </c>
      <c r="M57" s="8">
        <v>0.8</v>
      </c>
    </row>
    <row r="58" spans="1:13" x14ac:dyDescent="0.25">
      <c r="A58" s="99">
        <f t="shared" si="0"/>
        <v>57</v>
      </c>
      <c r="B58" s="8">
        <v>1</v>
      </c>
      <c r="C58" s="8">
        <v>0</v>
      </c>
      <c r="D58" s="8">
        <v>0</v>
      </c>
      <c r="E58" s="8">
        <v>0</v>
      </c>
      <c r="F58" s="8">
        <v>0</v>
      </c>
      <c r="G58" s="8">
        <v>1</v>
      </c>
      <c r="H58" s="8">
        <v>1</v>
      </c>
      <c r="I58" s="8">
        <v>0</v>
      </c>
      <c r="J58" s="6">
        <v>22</v>
      </c>
      <c r="K58" s="8">
        <v>1</v>
      </c>
      <c r="L58" s="8">
        <v>1.2</v>
      </c>
      <c r="M58" s="8">
        <v>0.8</v>
      </c>
    </row>
    <row r="59" spans="1:13" x14ac:dyDescent="0.25">
      <c r="A59" s="99">
        <f t="shared" si="0"/>
        <v>58</v>
      </c>
      <c r="B59" s="8">
        <v>1</v>
      </c>
      <c r="C59" s="8">
        <v>2.686830876823493</v>
      </c>
      <c r="D59" s="8">
        <v>1.334518579618845</v>
      </c>
      <c r="E59" s="8">
        <v>0</v>
      </c>
      <c r="F59" s="8">
        <v>0</v>
      </c>
      <c r="G59" s="8">
        <v>1</v>
      </c>
      <c r="H59" s="8">
        <v>1</v>
      </c>
      <c r="I59" s="8">
        <v>0</v>
      </c>
      <c r="J59" s="6">
        <v>22</v>
      </c>
      <c r="K59" s="8">
        <v>1</v>
      </c>
      <c r="L59" s="8">
        <v>1.2</v>
      </c>
      <c r="M59" s="8">
        <v>0.8</v>
      </c>
    </row>
    <row r="60" spans="1:13" x14ac:dyDescent="0.25">
      <c r="A60" s="99">
        <f t="shared" si="0"/>
        <v>59</v>
      </c>
      <c r="B60" s="8">
        <v>1</v>
      </c>
      <c r="C60" s="8">
        <v>31.306792260082819</v>
      </c>
      <c r="D60" s="8">
        <v>15.648794151116515</v>
      </c>
      <c r="E60" s="8">
        <v>0</v>
      </c>
      <c r="F60" s="8">
        <v>0</v>
      </c>
      <c r="G60" s="8">
        <v>1</v>
      </c>
      <c r="H60" s="8">
        <v>1</v>
      </c>
      <c r="I60" s="8">
        <v>0</v>
      </c>
      <c r="J60" s="104">
        <v>66</v>
      </c>
      <c r="K60" s="8">
        <v>1</v>
      </c>
      <c r="L60" s="8">
        <v>1.2</v>
      </c>
      <c r="M60" s="8">
        <v>0.8</v>
      </c>
    </row>
    <row r="61" spans="1:13" x14ac:dyDescent="0.25">
      <c r="A61" s="99">
        <f t="shared" si="0"/>
        <v>60</v>
      </c>
      <c r="B61" s="8">
        <v>1</v>
      </c>
      <c r="C61" s="8">
        <v>0</v>
      </c>
      <c r="D61" s="8">
        <v>0</v>
      </c>
      <c r="E61" s="8">
        <v>0</v>
      </c>
      <c r="F61" s="8">
        <v>0</v>
      </c>
      <c r="G61" s="8">
        <v>1</v>
      </c>
      <c r="H61" s="8">
        <v>1</v>
      </c>
      <c r="I61" s="8">
        <v>0</v>
      </c>
      <c r="J61" s="6">
        <v>22</v>
      </c>
      <c r="K61" s="8">
        <v>1</v>
      </c>
      <c r="L61" s="8">
        <v>1.2</v>
      </c>
      <c r="M61" s="8">
        <v>0.8</v>
      </c>
    </row>
    <row r="62" spans="1:13" x14ac:dyDescent="0.25">
      <c r="A62" s="99">
        <f t="shared" si="0"/>
        <v>61</v>
      </c>
      <c r="B62" s="8">
        <v>1</v>
      </c>
      <c r="C62" s="8">
        <v>0</v>
      </c>
      <c r="D62" s="8">
        <v>0</v>
      </c>
      <c r="E62" s="8">
        <v>0</v>
      </c>
      <c r="F62" s="8">
        <v>0</v>
      </c>
      <c r="G62" s="8">
        <v>1</v>
      </c>
      <c r="H62" s="8">
        <v>1</v>
      </c>
      <c r="I62" s="8">
        <v>0</v>
      </c>
      <c r="J62" s="104">
        <v>66</v>
      </c>
      <c r="K62" s="8">
        <v>1</v>
      </c>
      <c r="L62" s="8">
        <v>1.2</v>
      </c>
      <c r="M62" s="8">
        <v>0.8</v>
      </c>
    </row>
    <row r="63" spans="1:13" x14ac:dyDescent="0.25">
      <c r="A63" s="99">
        <f t="shared" si="0"/>
        <v>62</v>
      </c>
      <c r="B63" s="8">
        <v>1</v>
      </c>
      <c r="C63" s="8">
        <v>13.508978659744749</v>
      </c>
      <c r="D63" s="8">
        <v>6.5197772638765041</v>
      </c>
      <c r="E63" s="8">
        <v>0</v>
      </c>
      <c r="F63" s="8">
        <v>0</v>
      </c>
      <c r="G63" s="8">
        <v>1</v>
      </c>
      <c r="H63" s="8">
        <v>1</v>
      </c>
      <c r="I63" s="8">
        <v>0</v>
      </c>
      <c r="J63" s="104">
        <v>66</v>
      </c>
      <c r="K63" s="8">
        <v>1</v>
      </c>
      <c r="L63" s="8">
        <v>1.2</v>
      </c>
      <c r="M63" s="8">
        <v>0.8</v>
      </c>
    </row>
    <row r="64" spans="1:13" x14ac:dyDescent="0.25">
      <c r="A64" s="99">
        <f t="shared" si="0"/>
        <v>63</v>
      </c>
      <c r="B64" s="8">
        <v>1</v>
      </c>
      <c r="C64" s="8">
        <v>36.014621274349061</v>
      </c>
      <c r="D64" s="8">
        <v>17.40537429833682</v>
      </c>
      <c r="E64" s="8">
        <v>0</v>
      </c>
      <c r="F64" s="8">
        <v>0</v>
      </c>
      <c r="G64" s="8">
        <v>1</v>
      </c>
      <c r="H64" s="8">
        <v>1</v>
      </c>
      <c r="I64" s="8">
        <v>0</v>
      </c>
      <c r="J64" s="104">
        <v>66</v>
      </c>
      <c r="K64" s="8">
        <v>1</v>
      </c>
      <c r="L64" s="8">
        <v>1.2</v>
      </c>
      <c r="M64" s="8">
        <v>0.8</v>
      </c>
    </row>
    <row r="65" spans="1:13" x14ac:dyDescent="0.25">
      <c r="A65" s="99">
        <f t="shared" si="0"/>
        <v>64</v>
      </c>
      <c r="B65" s="8">
        <v>1</v>
      </c>
      <c r="C65" s="8">
        <v>26.94309663080044</v>
      </c>
      <c r="D65" s="8">
        <v>13.193541751302046</v>
      </c>
      <c r="E65" s="8">
        <v>0</v>
      </c>
      <c r="F65" s="8">
        <v>0</v>
      </c>
      <c r="G65" s="8">
        <v>1</v>
      </c>
      <c r="H65" s="8">
        <v>1</v>
      </c>
      <c r="I65" s="8">
        <v>0</v>
      </c>
      <c r="J65" s="104">
        <v>66</v>
      </c>
      <c r="K65" s="8">
        <v>1</v>
      </c>
      <c r="L65" s="8">
        <v>1.2</v>
      </c>
      <c r="M65" s="8">
        <v>0.8</v>
      </c>
    </row>
    <row r="66" spans="1:13" x14ac:dyDescent="0.25">
      <c r="A66" s="99">
        <f t="shared" si="0"/>
        <v>65</v>
      </c>
      <c r="B66" s="8">
        <v>1</v>
      </c>
      <c r="C66" s="8">
        <v>4.5100692514589582</v>
      </c>
      <c r="D66" s="8">
        <v>2.1585354634669387</v>
      </c>
      <c r="E66" s="8">
        <v>0</v>
      </c>
      <c r="F66" s="8">
        <v>0</v>
      </c>
      <c r="G66" s="8">
        <v>1</v>
      </c>
      <c r="H66" s="8">
        <v>1</v>
      </c>
      <c r="I66" s="8">
        <v>0</v>
      </c>
      <c r="J66" s="6">
        <v>22</v>
      </c>
      <c r="K66" s="8">
        <v>1</v>
      </c>
      <c r="L66" s="8">
        <v>1.2</v>
      </c>
      <c r="M66" s="8">
        <v>0.8</v>
      </c>
    </row>
    <row r="67" spans="1:13" x14ac:dyDescent="0.25">
      <c r="A67" s="99">
        <f t="shared" si="0"/>
        <v>66</v>
      </c>
      <c r="B67" s="8">
        <v>1</v>
      </c>
      <c r="C67" s="8">
        <v>2.6920499376994442</v>
      </c>
      <c r="D67" s="8">
        <v>1.3239588864207295</v>
      </c>
      <c r="E67" s="8">
        <v>0</v>
      </c>
      <c r="F67" s="8">
        <v>0</v>
      </c>
      <c r="G67" s="8">
        <v>1</v>
      </c>
      <c r="H67" s="8">
        <v>1</v>
      </c>
      <c r="I67" s="8">
        <v>0</v>
      </c>
      <c r="J67" s="6">
        <v>22</v>
      </c>
      <c r="K67" s="8">
        <v>1</v>
      </c>
      <c r="L67" s="8">
        <v>1.2</v>
      </c>
      <c r="M67" s="8">
        <v>0.8</v>
      </c>
    </row>
    <row r="68" spans="1:13" x14ac:dyDescent="0.25">
      <c r="A68" s="99">
        <f t="shared" ref="A68:A131" si="1">A67+1</f>
        <v>67</v>
      </c>
      <c r="B68" s="8">
        <v>1</v>
      </c>
      <c r="C68" s="8">
        <v>2.6862432808450882</v>
      </c>
      <c r="D68" s="8">
        <v>1.3357009531008863</v>
      </c>
      <c r="E68" s="8">
        <v>0</v>
      </c>
      <c r="F68" s="8">
        <v>0</v>
      </c>
      <c r="G68" s="8">
        <v>1</v>
      </c>
      <c r="H68" s="8">
        <v>1</v>
      </c>
      <c r="I68" s="8">
        <v>0</v>
      </c>
      <c r="J68" s="6">
        <v>22</v>
      </c>
      <c r="K68" s="8">
        <v>1</v>
      </c>
      <c r="L68" s="8">
        <v>1.2</v>
      </c>
      <c r="M68" s="8">
        <v>0.8</v>
      </c>
    </row>
    <row r="69" spans="1:13" x14ac:dyDescent="0.25">
      <c r="A69" s="99">
        <f t="shared" si="1"/>
        <v>68</v>
      </c>
      <c r="B69" s="8">
        <v>1</v>
      </c>
      <c r="C69" s="8">
        <v>0</v>
      </c>
      <c r="D69" s="8">
        <v>0</v>
      </c>
      <c r="E69" s="8">
        <v>0</v>
      </c>
      <c r="F69" s="8">
        <v>0</v>
      </c>
      <c r="G69" s="8">
        <v>1</v>
      </c>
      <c r="H69" s="8">
        <v>1</v>
      </c>
      <c r="I69" s="8">
        <v>0</v>
      </c>
      <c r="J69" s="6">
        <v>22</v>
      </c>
      <c r="K69" s="8">
        <v>1</v>
      </c>
      <c r="L69" s="8">
        <v>1.2</v>
      </c>
      <c r="M69" s="8">
        <v>0.8</v>
      </c>
    </row>
    <row r="70" spans="1:13" x14ac:dyDescent="0.25">
      <c r="A70" s="99">
        <f t="shared" si="1"/>
        <v>69</v>
      </c>
      <c r="B70" s="8">
        <v>1</v>
      </c>
      <c r="C70" s="8">
        <v>0</v>
      </c>
      <c r="D70" s="8">
        <v>0</v>
      </c>
      <c r="E70" s="8">
        <v>0</v>
      </c>
      <c r="F70" s="8">
        <v>0</v>
      </c>
      <c r="G70" s="8">
        <v>1</v>
      </c>
      <c r="H70" s="8">
        <v>1</v>
      </c>
      <c r="I70" s="8">
        <v>0</v>
      </c>
      <c r="J70" s="6">
        <v>22</v>
      </c>
      <c r="K70" s="8">
        <v>1</v>
      </c>
      <c r="L70" s="8">
        <v>1.2</v>
      </c>
      <c r="M70" s="8">
        <v>0.8</v>
      </c>
    </row>
    <row r="71" spans="1:13" x14ac:dyDescent="0.25">
      <c r="A71" s="99">
        <f t="shared" si="1"/>
        <v>70</v>
      </c>
      <c r="B71" s="8">
        <v>1</v>
      </c>
      <c r="C71" s="8">
        <v>3.5877580099144222</v>
      </c>
      <c r="D71" s="8">
        <v>1.7686131465911095</v>
      </c>
      <c r="E71" s="8">
        <v>0</v>
      </c>
      <c r="F71" s="8">
        <v>0</v>
      </c>
      <c r="G71" s="8">
        <v>1</v>
      </c>
      <c r="H71" s="8">
        <v>1</v>
      </c>
      <c r="I71" s="8">
        <v>0</v>
      </c>
      <c r="J71" s="6">
        <v>22</v>
      </c>
      <c r="K71" s="8">
        <v>1</v>
      </c>
      <c r="L71" s="8">
        <v>1.2</v>
      </c>
      <c r="M71" s="8">
        <v>0.8</v>
      </c>
    </row>
    <row r="72" spans="1:13" x14ac:dyDescent="0.25">
      <c r="A72" s="99">
        <f t="shared" si="1"/>
        <v>71</v>
      </c>
      <c r="B72" s="8">
        <v>1</v>
      </c>
      <c r="C72" s="8">
        <v>8.9279967607681971</v>
      </c>
      <c r="D72" s="8">
        <v>4.5045392483263562</v>
      </c>
      <c r="E72" s="8">
        <v>0</v>
      </c>
      <c r="F72" s="8">
        <v>0</v>
      </c>
      <c r="G72" s="8">
        <v>1</v>
      </c>
      <c r="H72" s="8">
        <v>1</v>
      </c>
      <c r="I72" s="8">
        <v>0</v>
      </c>
      <c r="J72" s="6">
        <v>22</v>
      </c>
      <c r="K72" s="8">
        <v>1</v>
      </c>
      <c r="L72" s="8">
        <v>1.2</v>
      </c>
      <c r="M72" s="8">
        <v>0.8</v>
      </c>
    </row>
    <row r="73" spans="1:13" x14ac:dyDescent="0.25">
      <c r="A73" s="99">
        <f t="shared" si="1"/>
        <v>72</v>
      </c>
      <c r="B73" s="8">
        <v>1</v>
      </c>
      <c r="C73" s="8">
        <v>0</v>
      </c>
      <c r="D73" s="8">
        <v>0</v>
      </c>
      <c r="E73" s="8">
        <v>0</v>
      </c>
      <c r="F73" s="8">
        <v>0</v>
      </c>
      <c r="G73" s="8">
        <v>1</v>
      </c>
      <c r="H73" s="8">
        <v>1</v>
      </c>
      <c r="I73" s="8">
        <v>0</v>
      </c>
      <c r="J73" s="6">
        <v>22</v>
      </c>
      <c r="K73" s="8">
        <v>1</v>
      </c>
      <c r="L73" s="8">
        <v>1.2</v>
      </c>
      <c r="M73" s="8">
        <v>0.8</v>
      </c>
    </row>
    <row r="74" spans="1:13" x14ac:dyDescent="0.25">
      <c r="A74" s="99">
        <f t="shared" si="1"/>
        <v>73</v>
      </c>
      <c r="B74" s="8">
        <v>1</v>
      </c>
      <c r="C74" s="8">
        <v>4.4795156289447009</v>
      </c>
      <c r="D74" s="8">
        <v>2.2212473365296721</v>
      </c>
      <c r="E74" s="8">
        <v>0</v>
      </c>
      <c r="F74" s="8">
        <v>0</v>
      </c>
      <c r="G74" s="8">
        <v>1</v>
      </c>
      <c r="H74" s="8">
        <v>1</v>
      </c>
      <c r="I74" s="8">
        <v>0</v>
      </c>
      <c r="J74" s="6">
        <v>22</v>
      </c>
      <c r="K74" s="8">
        <v>1</v>
      </c>
      <c r="L74" s="8">
        <v>1.2</v>
      </c>
      <c r="M74" s="8">
        <v>0.8</v>
      </c>
    </row>
    <row r="75" spans="1:13" x14ac:dyDescent="0.25">
      <c r="A75" s="99">
        <f t="shared" si="1"/>
        <v>74</v>
      </c>
      <c r="B75" s="8">
        <v>1</v>
      </c>
      <c r="C75" s="8">
        <v>0</v>
      </c>
      <c r="D75" s="8">
        <v>0</v>
      </c>
      <c r="E75" s="8">
        <v>0</v>
      </c>
      <c r="F75" s="8">
        <v>0</v>
      </c>
      <c r="G75" s="8">
        <v>1</v>
      </c>
      <c r="H75" s="8">
        <v>1</v>
      </c>
      <c r="I75" s="8">
        <v>0</v>
      </c>
      <c r="J75" s="6">
        <v>22</v>
      </c>
      <c r="K75" s="8">
        <v>1</v>
      </c>
      <c r="L75" s="8">
        <v>1.2</v>
      </c>
      <c r="M75" s="8">
        <v>0.8</v>
      </c>
    </row>
    <row r="76" spans="1:13" x14ac:dyDescent="0.25">
      <c r="A76" s="99">
        <f t="shared" si="1"/>
        <v>75</v>
      </c>
      <c r="B76" s="8">
        <v>1</v>
      </c>
      <c r="C76" s="8">
        <v>2.6750846427698058</v>
      </c>
      <c r="D76" s="8">
        <v>1.3579109521677555</v>
      </c>
      <c r="E76" s="8">
        <v>0</v>
      </c>
      <c r="F76" s="8">
        <v>0</v>
      </c>
      <c r="G76" s="8">
        <v>1</v>
      </c>
      <c r="H76" s="8">
        <v>1</v>
      </c>
      <c r="I76" s="8">
        <v>0</v>
      </c>
      <c r="J76" s="6">
        <v>22</v>
      </c>
      <c r="K76" s="8">
        <v>1</v>
      </c>
      <c r="L76" s="8">
        <v>1.2</v>
      </c>
      <c r="M76" s="8">
        <v>0.8</v>
      </c>
    </row>
    <row r="77" spans="1:13" x14ac:dyDescent="0.25">
      <c r="A77" s="99">
        <f t="shared" si="1"/>
        <v>76</v>
      </c>
      <c r="B77" s="8">
        <v>1</v>
      </c>
      <c r="C77" s="8">
        <v>3.5937743147194161</v>
      </c>
      <c r="D77" s="8">
        <v>1.7563559362677574</v>
      </c>
      <c r="E77" s="8">
        <v>0</v>
      </c>
      <c r="F77" s="8">
        <v>0</v>
      </c>
      <c r="G77" s="8">
        <v>1</v>
      </c>
      <c r="H77" s="8">
        <v>1</v>
      </c>
      <c r="I77" s="8">
        <v>0</v>
      </c>
      <c r="J77" s="6">
        <v>22</v>
      </c>
      <c r="K77" s="8">
        <v>1</v>
      </c>
      <c r="L77" s="8">
        <v>1.2</v>
      </c>
      <c r="M77" s="8">
        <v>0.8</v>
      </c>
    </row>
    <row r="78" spans="1:13" x14ac:dyDescent="0.25">
      <c r="A78" s="99">
        <f t="shared" si="1"/>
        <v>77</v>
      </c>
      <c r="B78" s="8">
        <v>1</v>
      </c>
      <c r="C78" s="8">
        <v>2.6881075166168795</v>
      </c>
      <c r="D78" s="8">
        <v>1.3319451862249561</v>
      </c>
      <c r="E78" s="8">
        <v>0</v>
      </c>
      <c r="F78" s="8">
        <v>0</v>
      </c>
      <c r="G78" s="8">
        <v>1</v>
      </c>
      <c r="H78" s="8">
        <v>1</v>
      </c>
      <c r="I78" s="8">
        <v>0</v>
      </c>
      <c r="J78" s="6">
        <v>22</v>
      </c>
      <c r="K78" s="8">
        <v>1</v>
      </c>
      <c r="L78" s="8">
        <v>1.2</v>
      </c>
      <c r="M78" s="8">
        <v>0.8</v>
      </c>
    </row>
    <row r="79" spans="1:13" x14ac:dyDescent="0.25">
      <c r="A79" s="99">
        <f t="shared" si="1"/>
        <v>78</v>
      </c>
      <c r="B79" s="8">
        <v>1</v>
      </c>
      <c r="C79" s="8">
        <v>0</v>
      </c>
      <c r="D79" s="8">
        <v>0</v>
      </c>
      <c r="E79" s="8">
        <v>0</v>
      </c>
      <c r="F79" s="8">
        <v>0</v>
      </c>
      <c r="G79" s="8">
        <v>1</v>
      </c>
      <c r="H79" s="8">
        <v>1</v>
      </c>
      <c r="I79" s="8">
        <v>0</v>
      </c>
      <c r="J79" s="6">
        <v>22</v>
      </c>
      <c r="K79" s="8">
        <v>1</v>
      </c>
      <c r="L79" s="8">
        <v>1.2</v>
      </c>
      <c r="M79" s="8">
        <v>0.8</v>
      </c>
    </row>
    <row r="80" spans="1:13" x14ac:dyDescent="0.25">
      <c r="A80" s="99">
        <f t="shared" si="1"/>
        <v>79</v>
      </c>
      <c r="B80" s="8">
        <v>1</v>
      </c>
      <c r="C80" s="8">
        <v>0</v>
      </c>
      <c r="D80" s="8">
        <v>0</v>
      </c>
      <c r="E80" s="8">
        <v>0</v>
      </c>
      <c r="F80" s="8">
        <v>0</v>
      </c>
      <c r="G80" s="8">
        <v>1</v>
      </c>
      <c r="H80" s="8">
        <v>1</v>
      </c>
      <c r="I80" s="8">
        <v>0</v>
      </c>
      <c r="J80" s="6">
        <v>22</v>
      </c>
      <c r="K80" s="8">
        <v>1</v>
      </c>
      <c r="L80" s="8">
        <v>1.2</v>
      </c>
      <c r="M80" s="8">
        <v>0.8</v>
      </c>
    </row>
    <row r="81" spans="1:13" x14ac:dyDescent="0.25">
      <c r="A81" s="99">
        <f t="shared" si="1"/>
        <v>80</v>
      </c>
      <c r="B81" s="8">
        <v>1</v>
      </c>
      <c r="C81" s="8">
        <v>4.4721359543607022</v>
      </c>
      <c r="D81" s="8">
        <v>2.2360679787775442</v>
      </c>
      <c r="E81" s="8">
        <v>0</v>
      </c>
      <c r="F81" s="8">
        <v>0</v>
      </c>
      <c r="G81" s="8">
        <v>1</v>
      </c>
      <c r="H81" s="8">
        <v>1</v>
      </c>
      <c r="I81" s="8">
        <v>0</v>
      </c>
      <c r="J81" s="6">
        <v>22</v>
      </c>
      <c r="K81" s="8">
        <v>1</v>
      </c>
      <c r="L81" s="8">
        <v>1.2</v>
      </c>
      <c r="M81" s="8">
        <v>0.8</v>
      </c>
    </row>
    <row r="82" spans="1:13" x14ac:dyDescent="0.25">
      <c r="A82" s="99">
        <f t="shared" si="1"/>
        <v>81</v>
      </c>
      <c r="B82" s="8">
        <v>1</v>
      </c>
      <c r="C82" s="8">
        <v>0</v>
      </c>
      <c r="D82" s="8">
        <v>0</v>
      </c>
      <c r="E82" s="8">
        <v>0</v>
      </c>
      <c r="F82" s="8">
        <v>0</v>
      </c>
      <c r="G82" s="8">
        <v>1</v>
      </c>
      <c r="H82" s="8">
        <v>1</v>
      </c>
      <c r="I82" s="8">
        <v>0</v>
      </c>
      <c r="J82" s="6">
        <v>22</v>
      </c>
      <c r="K82" s="8">
        <v>1</v>
      </c>
      <c r="L82" s="8">
        <v>1.2</v>
      </c>
      <c r="M82" s="8">
        <v>0.8</v>
      </c>
    </row>
    <row r="83" spans="1:13" x14ac:dyDescent="0.25">
      <c r="A83" s="99">
        <f t="shared" si="1"/>
        <v>82</v>
      </c>
      <c r="B83" s="8">
        <v>1</v>
      </c>
      <c r="C83" s="8">
        <v>5.3459770066928858</v>
      </c>
      <c r="D83" s="8">
        <v>2.7240649485485791</v>
      </c>
      <c r="E83" s="8">
        <v>0</v>
      </c>
      <c r="F83" s="8">
        <v>0</v>
      </c>
      <c r="G83" s="8">
        <v>1</v>
      </c>
      <c r="H83" s="8">
        <v>1</v>
      </c>
      <c r="I83" s="8">
        <v>0</v>
      </c>
      <c r="J83" s="6">
        <v>22</v>
      </c>
      <c r="K83" s="8">
        <v>1</v>
      </c>
      <c r="L83" s="8">
        <v>1.2</v>
      </c>
      <c r="M83" s="8">
        <v>0.8</v>
      </c>
    </row>
    <row r="84" spans="1:13" x14ac:dyDescent="0.25">
      <c r="A84" s="99">
        <f t="shared" si="1"/>
        <v>83</v>
      </c>
      <c r="B84" s="8">
        <v>1</v>
      </c>
      <c r="C84" s="8">
        <v>0</v>
      </c>
      <c r="D84" s="8">
        <v>0</v>
      </c>
      <c r="E84" s="8">
        <v>0</v>
      </c>
      <c r="F84" s="8">
        <v>0</v>
      </c>
      <c r="G84" s="8">
        <v>1</v>
      </c>
      <c r="H84" s="8">
        <v>1</v>
      </c>
      <c r="I84" s="8">
        <v>0</v>
      </c>
      <c r="J84" s="6">
        <v>22</v>
      </c>
      <c r="K84" s="8">
        <v>1</v>
      </c>
      <c r="L84" s="8">
        <v>1.2</v>
      </c>
      <c r="M84" s="8">
        <v>0.8</v>
      </c>
    </row>
    <row r="85" spans="1:13" x14ac:dyDescent="0.25">
      <c r="A85" s="99">
        <f t="shared" si="1"/>
        <v>84</v>
      </c>
      <c r="B85" s="8">
        <v>1</v>
      </c>
      <c r="C85" s="8">
        <v>22.355251016255064</v>
      </c>
      <c r="D85" s="8">
        <v>11.191190821366014</v>
      </c>
      <c r="E85" s="8">
        <v>0</v>
      </c>
      <c r="F85" s="8">
        <v>0</v>
      </c>
      <c r="G85" s="8">
        <v>1</v>
      </c>
      <c r="H85" s="8">
        <v>1</v>
      </c>
      <c r="I85" s="8">
        <v>0</v>
      </c>
      <c r="J85" s="104">
        <v>66</v>
      </c>
      <c r="K85" s="8">
        <v>1</v>
      </c>
      <c r="L85" s="8">
        <v>1.2</v>
      </c>
      <c r="M85" s="8">
        <v>0.8</v>
      </c>
    </row>
    <row r="86" spans="1:13" x14ac:dyDescent="0.25">
      <c r="A86" s="99">
        <f t="shared" si="1"/>
        <v>85</v>
      </c>
      <c r="B86" s="8">
        <v>1</v>
      </c>
      <c r="C86" s="8">
        <v>0.89292144936446927</v>
      </c>
      <c r="D86" s="8">
        <v>0.45021248901474908</v>
      </c>
      <c r="E86" s="8">
        <v>0</v>
      </c>
      <c r="F86" s="8">
        <v>0</v>
      </c>
      <c r="G86" s="8">
        <v>1</v>
      </c>
      <c r="H86" s="8">
        <v>1</v>
      </c>
      <c r="I86" s="8">
        <v>0</v>
      </c>
      <c r="J86" s="6">
        <v>22</v>
      </c>
      <c r="K86" s="8">
        <v>1</v>
      </c>
      <c r="L86" s="8">
        <v>1.2</v>
      </c>
      <c r="M86" s="8">
        <v>0.8</v>
      </c>
    </row>
    <row r="87" spans="1:13" x14ac:dyDescent="0.25">
      <c r="A87" s="99">
        <f t="shared" si="1"/>
        <v>86</v>
      </c>
      <c r="B87" s="8">
        <v>1</v>
      </c>
      <c r="C87" s="8">
        <v>4.4721359546418089</v>
      </c>
      <c r="D87" s="8">
        <v>2.2360679782153308</v>
      </c>
      <c r="E87" s="8">
        <v>0</v>
      </c>
      <c r="F87" s="8">
        <v>0</v>
      </c>
      <c r="G87" s="8">
        <v>1</v>
      </c>
      <c r="H87" s="8">
        <v>1</v>
      </c>
      <c r="I87" s="8">
        <v>0</v>
      </c>
      <c r="J87" s="6">
        <v>22</v>
      </c>
      <c r="K87" s="8">
        <v>1</v>
      </c>
      <c r="L87" s="8">
        <v>1.2</v>
      </c>
      <c r="M87" s="8">
        <v>0.8</v>
      </c>
    </row>
    <row r="88" spans="1:13" x14ac:dyDescent="0.25">
      <c r="A88" s="99">
        <f t="shared" si="1"/>
        <v>87</v>
      </c>
      <c r="B88" s="8">
        <v>1</v>
      </c>
      <c r="C88" s="8">
        <v>0</v>
      </c>
      <c r="D88" s="8">
        <v>0</v>
      </c>
      <c r="E88" s="8">
        <v>0</v>
      </c>
      <c r="F88" s="8">
        <v>0</v>
      </c>
      <c r="G88" s="8">
        <v>1</v>
      </c>
      <c r="H88" s="8">
        <v>1</v>
      </c>
      <c r="I88" s="8">
        <v>0</v>
      </c>
      <c r="J88" s="6">
        <v>22</v>
      </c>
      <c r="K88" s="8">
        <v>1</v>
      </c>
      <c r="L88" s="8">
        <v>1.2</v>
      </c>
      <c r="M88" s="8">
        <v>0.8</v>
      </c>
    </row>
    <row r="89" spans="1:13" x14ac:dyDescent="0.25">
      <c r="A89" s="99">
        <f t="shared" si="1"/>
        <v>88</v>
      </c>
      <c r="B89" s="8">
        <v>1</v>
      </c>
      <c r="C89" s="8">
        <v>32.479021302157662</v>
      </c>
      <c r="D89" s="8">
        <v>15.527819397906097</v>
      </c>
      <c r="E89" s="8">
        <v>0</v>
      </c>
      <c r="F89" s="8">
        <v>0</v>
      </c>
      <c r="G89" s="8">
        <v>1</v>
      </c>
      <c r="H89" s="8">
        <v>1</v>
      </c>
      <c r="I89" s="8">
        <v>0</v>
      </c>
      <c r="J89" s="104">
        <v>66</v>
      </c>
      <c r="K89" s="8">
        <v>1</v>
      </c>
      <c r="L89" s="8">
        <v>1.2</v>
      </c>
      <c r="M89" s="8">
        <v>0.8</v>
      </c>
    </row>
    <row r="90" spans="1:13" x14ac:dyDescent="0.25">
      <c r="A90" s="99">
        <f t="shared" si="1"/>
        <v>89</v>
      </c>
      <c r="B90" s="8">
        <v>1</v>
      </c>
      <c r="C90" s="8">
        <v>10.754337598125527</v>
      </c>
      <c r="D90" s="8">
        <v>5.3239292656405262</v>
      </c>
      <c r="E90" s="8">
        <v>0</v>
      </c>
      <c r="F90" s="8">
        <v>0</v>
      </c>
      <c r="G90" s="8">
        <v>1</v>
      </c>
      <c r="H90" s="8">
        <v>1</v>
      </c>
      <c r="I90" s="8">
        <v>0</v>
      </c>
      <c r="J90" s="6">
        <v>22</v>
      </c>
      <c r="K90" s="8">
        <v>1</v>
      </c>
      <c r="L90" s="8">
        <v>1.2</v>
      </c>
      <c r="M90" s="8">
        <v>0.8</v>
      </c>
    </row>
    <row r="91" spans="1:13" x14ac:dyDescent="0.25">
      <c r="A91" s="99">
        <f t="shared" si="1"/>
        <v>90</v>
      </c>
      <c r="B91" s="8">
        <v>1</v>
      </c>
      <c r="C91" s="8">
        <v>16.145836987653382</v>
      </c>
      <c r="D91" s="8">
        <v>7.9568805425319757</v>
      </c>
      <c r="E91" s="8">
        <v>0</v>
      </c>
      <c r="F91" s="8">
        <v>0</v>
      </c>
      <c r="G91" s="8">
        <v>1</v>
      </c>
      <c r="H91" s="8">
        <v>1</v>
      </c>
      <c r="I91" s="8">
        <v>0</v>
      </c>
      <c r="J91" s="6">
        <v>22</v>
      </c>
      <c r="K91" s="8">
        <v>1</v>
      </c>
      <c r="L91" s="8">
        <v>1.2</v>
      </c>
      <c r="M91" s="8">
        <v>0.8</v>
      </c>
    </row>
    <row r="92" spans="1:13" x14ac:dyDescent="0.25">
      <c r="A92" s="99">
        <f t="shared" si="1"/>
        <v>91</v>
      </c>
      <c r="B92" s="8">
        <v>1</v>
      </c>
      <c r="C92" s="8">
        <v>0</v>
      </c>
      <c r="D92" s="8">
        <v>0</v>
      </c>
      <c r="E92" s="8">
        <v>0</v>
      </c>
      <c r="F92" s="8">
        <v>0</v>
      </c>
      <c r="G92" s="8">
        <v>1</v>
      </c>
      <c r="H92" s="8">
        <v>1</v>
      </c>
      <c r="I92" s="8">
        <v>0</v>
      </c>
      <c r="J92" s="6">
        <v>22</v>
      </c>
      <c r="K92" s="8">
        <v>1</v>
      </c>
      <c r="L92" s="8">
        <v>1.2</v>
      </c>
      <c r="M92" s="8">
        <v>0.8</v>
      </c>
    </row>
    <row r="93" spans="1:13" x14ac:dyDescent="0.25">
      <c r="A93" s="99">
        <f t="shared" si="1"/>
        <v>92</v>
      </c>
      <c r="B93" s="8">
        <v>1</v>
      </c>
      <c r="C93" s="8">
        <v>0</v>
      </c>
      <c r="D93" s="8">
        <v>0</v>
      </c>
      <c r="E93" s="8">
        <v>0</v>
      </c>
      <c r="F93" s="8">
        <v>0</v>
      </c>
      <c r="G93" s="8">
        <v>1</v>
      </c>
      <c r="H93" s="8">
        <v>1</v>
      </c>
      <c r="I93" s="8">
        <v>0</v>
      </c>
      <c r="J93" s="6">
        <v>22</v>
      </c>
      <c r="K93" s="8">
        <v>1</v>
      </c>
      <c r="L93" s="8">
        <v>1.2</v>
      </c>
      <c r="M93" s="8">
        <v>0.8</v>
      </c>
    </row>
    <row r="94" spans="1:13" x14ac:dyDescent="0.25">
      <c r="A94" s="99">
        <f t="shared" si="1"/>
        <v>93</v>
      </c>
      <c r="B94" s="8">
        <v>1</v>
      </c>
      <c r="C94" s="8">
        <v>197.2963374025224</v>
      </c>
      <c r="D94" s="8">
        <v>97.335272371068257</v>
      </c>
      <c r="E94" s="8">
        <v>0</v>
      </c>
      <c r="F94" s="8">
        <v>0</v>
      </c>
      <c r="G94" s="8">
        <v>1</v>
      </c>
      <c r="H94" s="8">
        <v>1</v>
      </c>
      <c r="I94" s="8">
        <v>0</v>
      </c>
      <c r="J94" s="105">
        <v>230</v>
      </c>
      <c r="K94" s="8">
        <v>1</v>
      </c>
      <c r="L94" s="8">
        <v>1.2</v>
      </c>
      <c r="M94" s="8">
        <v>0.8</v>
      </c>
    </row>
    <row r="95" spans="1:13" x14ac:dyDescent="0.25">
      <c r="A95" s="99">
        <f t="shared" si="1"/>
        <v>94</v>
      </c>
      <c r="B95" s="8">
        <v>1</v>
      </c>
      <c r="C95" s="8">
        <v>134.6447257309772</v>
      </c>
      <c r="D95" s="8">
        <v>66.112009747321437</v>
      </c>
      <c r="E95" s="8">
        <v>0</v>
      </c>
      <c r="F95" s="8">
        <v>0</v>
      </c>
      <c r="G95" s="8">
        <v>1</v>
      </c>
      <c r="H95" s="8">
        <v>1</v>
      </c>
      <c r="I95" s="8">
        <v>0</v>
      </c>
      <c r="J95" s="105">
        <v>230</v>
      </c>
      <c r="K95" s="8">
        <v>1</v>
      </c>
      <c r="L95" s="8">
        <v>1.2</v>
      </c>
      <c r="M95" s="8">
        <v>0.8</v>
      </c>
    </row>
    <row r="96" spans="1:13" x14ac:dyDescent="0.25">
      <c r="A96" s="99">
        <f t="shared" si="1"/>
        <v>95</v>
      </c>
      <c r="B96" s="8">
        <v>1</v>
      </c>
      <c r="C96" s="8">
        <v>3.5913036526797959</v>
      </c>
      <c r="D96" s="8">
        <v>1.7614023033505877</v>
      </c>
      <c r="E96" s="8">
        <v>0</v>
      </c>
      <c r="F96" s="8">
        <v>0</v>
      </c>
      <c r="G96" s="8">
        <v>1</v>
      </c>
      <c r="H96" s="8">
        <v>1</v>
      </c>
      <c r="I96" s="8">
        <v>0</v>
      </c>
      <c r="J96" s="6">
        <v>22</v>
      </c>
      <c r="K96" s="8">
        <v>1</v>
      </c>
      <c r="L96" s="8">
        <v>1.2</v>
      </c>
      <c r="M96" s="8">
        <v>0.8</v>
      </c>
    </row>
    <row r="97" spans="1:13" x14ac:dyDescent="0.25">
      <c r="A97" s="99">
        <f t="shared" si="1"/>
        <v>96</v>
      </c>
      <c r="B97" s="8">
        <v>1</v>
      </c>
      <c r="C97" s="8">
        <v>0</v>
      </c>
      <c r="D97" s="8">
        <v>0</v>
      </c>
      <c r="E97" s="8">
        <v>0</v>
      </c>
      <c r="F97" s="8">
        <v>0</v>
      </c>
      <c r="G97" s="8">
        <v>1</v>
      </c>
      <c r="H97" s="8">
        <v>1</v>
      </c>
      <c r="I97" s="8">
        <v>0</v>
      </c>
      <c r="J97" s="6">
        <v>22</v>
      </c>
      <c r="K97" s="8">
        <v>1</v>
      </c>
      <c r="L97" s="8">
        <v>1.2</v>
      </c>
      <c r="M97" s="8">
        <v>0.8</v>
      </c>
    </row>
    <row r="98" spans="1:13" x14ac:dyDescent="0.25">
      <c r="A98" s="99">
        <f t="shared" si="1"/>
        <v>97</v>
      </c>
      <c r="B98" s="8">
        <v>1</v>
      </c>
      <c r="C98" s="8">
        <v>0.91491780230363484</v>
      </c>
      <c r="D98" s="8">
        <v>0.40364020492003388</v>
      </c>
      <c r="E98" s="8">
        <v>0</v>
      </c>
      <c r="F98" s="8">
        <v>0</v>
      </c>
      <c r="G98" s="8">
        <v>1</v>
      </c>
      <c r="H98" s="8">
        <v>1</v>
      </c>
      <c r="I98" s="8">
        <v>0</v>
      </c>
      <c r="J98" s="6">
        <v>22</v>
      </c>
      <c r="K98" s="8">
        <v>1</v>
      </c>
      <c r="L98" s="8">
        <v>1.2</v>
      </c>
      <c r="M98" s="8">
        <v>0.8</v>
      </c>
    </row>
    <row r="99" spans="1:13" x14ac:dyDescent="0.25">
      <c r="A99" s="99">
        <f t="shared" si="1"/>
        <v>98</v>
      </c>
      <c r="B99" s="8">
        <v>1</v>
      </c>
      <c r="C99" s="8">
        <v>1.7946999440606148</v>
      </c>
      <c r="D99" s="8">
        <v>0.88263928690537352</v>
      </c>
      <c r="E99" s="8">
        <v>0</v>
      </c>
      <c r="F99" s="8">
        <v>0</v>
      </c>
      <c r="G99" s="8">
        <v>1</v>
      </c>
      <c r="H99" s="8">
        <v>1</v>
      </c>
      <c r="I99" s="8">
        <v>0</v>
      </c>
      <c r="J99" s="6">
        <v>22</v>
      </c>
      <c r="K99" s="8">
        <v>1</v>
      </c>
      <c r="L99" s="8">
        <v>1.2</v>
      </c>
      <c r="M99" s="8">
        <v>0.8</v>
      </c>
    </row>
    <row r="100" spans="1:13" x14ac:dyDescent="0.25">
      <c r="A100" s="99">
        <f t="shared" si="1"/>
        <v>99</v>
      </c>
      <c r="B100" s="8">
        <v>1</v>
      </c>
      <c r="C100" s="8">
        <v>9.0812270281050154</v>
      </c>
      <c r="D100" s="8">
        <v>4.1870413974565563</v>
      </c>
      <c r="E100" s="8">
        <v>0</v>
      </c>
      <c r="F100" s="8">
        <v>0</v>
      </c>
      <c r="G100" s="8">
        <v>1</v>
      </c>
      <c r="H100" s="8">
        <v>1</v>
      </c>
      <c r="I100" s="8">
        <v>0</v>
      </c>
      <c r="J100" s="6">
        <v>22</v>
      </c>
      <c r="K100" s="8">
        <v>1</v>
      </c>
      <c r="L100" s="8">
        <v>1.2</v>
      </c>
      <c r="M100" s="8">
        <v>0.8</v>
      </c>
    </row>
    <row r="101" spans="1:13" x14ac:dyDescent="0.25">
      <c r="A101" s="99">
        <f t="shared" si="1"/>
        <v>100</v>
      </c>
      <c r="B101" s="8">
        <v>1</v>
      </c>
      <c r="C101" s="8">
        <v>2.7310994260107142</v>
      </c>
      <c r="D101" s="8">
        <v>1.2414088469331719</v>
      </c>
      <c r="E101" s="8">
        <v>0</v>
      </c>
      <c r="F101" s="8">
        <v>0</v>
      </c>
      <c r="G101" s="8">
        <v>1</v>
      </c>
      <c r="H101" s="8">
        <v>1</v>
      </c>
      <c r="I101" s="8">
        <v>0</v>
      </c>
      <c r="J101" s="6">
        <v>22</v>
      </c>
      <c r="K101" s="8">
        <v>1</v>
      </c>
      <c r="L101" s="8">
        <v>1.2</v>
      </c>
      <c r="M101" s="8">
        <v>0.8</v>
      </c>
    </row>
    <row r="102" spans="1:13" x14ac:dyDescent="0.25">
      <c r="A102" s="99">
        <f t="shared" si="1"/>
        <v>101</v>
      </c>
      <c r="B102" s="8">
        <v>1</v>
      </c>
      <c r="C102" s="8">
        <v>7.1878959157971147</v>
      </c>
      <c r="D102" s="8">
        <v>3.5120011821847612</v>
      </c>
      <c r="E102" s="8">
        <v>0</v>
      </c>
      <c r="F102" s="8">
        <v>0</v>
      </c>
      <c r="G102" s="8">
        <v>1</v>
      </c>
      <c r="H102" s="8">
        <v>1</v>
      </c>
      <c r="I102" s="8">
        <v>0</v>
      </c>
      <c r="J102" s="6">
        <v>22</v>
      </c>
      <c r="K102" s="8">
        <v>1</v>
      </c>
      <c r="L102" s="8">
        <v>1.2</v>
      </c>
      <c r="M102" s="8">
        <v>0.8</v>
      </c>
    </row>
    <row r="103" spans="1:13" x14ac:dyDescent="0.25">
      <c r="A103" s="99">
        <f t="shared" si="1"/>
        <v>102</v>
      </c>
      <c r="B103" s="8">
        <v>1</v>
      </c>
      <c r="C103" s="8">
        <v>6.2899022178884492</v>
      </c>
      <c r="D103" s="8">
        <v>3.0719912254760704</v>
      </c>
      <c r="E103" s="8">
        <v>0</v>
      </c>
      <c r="F103" s="8">
        <v>0</v>
      </c>
      <c r="G103" s="8">
        <v>1</v>
      </c>
      <c r="H103" s="8">
        <v>1</v>
      </c>
      <c r="I103" s="8">
        <v>0</v>
      </c>
      <c r="J103" s="6">
        <v>22</v>
      </c>
      <c r="K103" s="8">
        <v>1</v>
      </c>
      <c r="L103" s="8">
        <v>1.2</v>
      </c>
      <c r="M103" s="8">
        <v>0.8</v>
      </c>
    </row>
    <row r="104" spans="1:13" x14ac:dyDescent="0.25">
      <c r="A104" s="99">
        <f t="shared" si="1"/>
        <v>103</v>
      </c>
      <c r="B104" s="8">
        <v>1</v>
      </c>
      <c r="C104" s="8">
        <v>4.1501292708920152</v>
      </c>
      <c r="D104" s="8">
        <v>2.7886245776162322</v>
      </c>
      <c r="E104" s="8">
        <v>0</v>
      </c>
      <c r="F104" s="8">
        <v>0</v>
      </c>
      <c r="G104" s="8">
        <v>1</v>
      </c>
      <c r="H104" s="8">
        <v>1</v>
      </c>
      <c r="I104" s="8">
        <v>0</v>
      </c>
      <c r="J104" s="6">
        <v>22</v>
      </c>
      <c r="K104" s="8">
        <v>1</v>
      </c>
      <c r="L104" s="8">
        <v>1.2</v>
      </c>
      <c r="M104" s="8">
        <v>0.8</v>
      </c>
    </row>
    <row r="105" spans="1:13" x14ac:dyDescent="0.25">
      <c r="A105" s="99">
        <f t="shared" si="1"/>
        <v>104</v>
      </c>
      <c r="B105" s="8">
        <v>1</v>
      </c>
      <c r="C105" s="8">
        <v>68.344864168988934</v>
      </c>
      <c r="D105" s="8">
        <v>9.485754673322111</v>
      </c>
      <c r="E105" s="8">
        <v>0</v>
      </c>
      <c r="F105" s="8">
        <v>0</v>
      </c>
      <c r="G105" s="8">
        <v>1</v>
      </c>
      <c r="H105" s="8">
        <v>1</v>
      </c>
      <c r="I105" s="8">
        <v>0</v>
      </c>
      <c r="J105" s="104">
        <v>66</v>
      </c>
      <c r="K105" s="8">
        <v>1</v>
      </c>
      <c r="L105" s="8">
        <v>1.2</v>
      </c>
      <c r="M105" s="8">
        <v>0.8</v>
      </c>
    </row>
    <row r="106" spans="1:13" x14ac:dyDescent="0.25">
      <c r="A106" s="99">
        <f t="shared" si="1"/>
        <v>105</v>
      </c>
      <c r="B106" s="8">
        <v>1</v>
      </c>
      <c r="C106" s="8">
        <v>3.6247325249155211</v>
      </c>
      <c r="D106" s="8">
        <v>1.6915419364649373</v>
      </c>
      <c r="E106" s="8">
        <v>0</v>
      </c>
      <c r="F106" s="8">
        <v>0</v>
      </c>
      <c r="G106" s="8">
        <v>1</v>
      </c>
      <c r="H106" s="8">
        <v>1</v>
      </c>
      <c r="I106" s="8">
        <v>0</v>
      </c>
      <c r="J106" s="6">
        <v>22</v>
      </c>
      <c r="K106" s="8">
        <v>1</v>
      </c>
      <c r="L106" s="8">
        <v>1.2</v>
      </c>
      <c r="M106" s="8">
        <v>0.8</v>
      </c>
    </row>
    <row r="107" spans="1:13" x14ac:dyDescent="0.25">
      <c r="A107" s="99">
        <f t="shared" si="1"/>
        <v>106</v>
      </c>
      <c r="B107" s="8">
        <v>1</v>
      </c>
      <c r="C107" s="8">
        <v>0.92015462717915109</v>
      </c>
      <c r="D107" s="8">
        <v>0.39155518395342115</v>
      </c>
      <c r="E107" s="8">
        <v>0</v>
      </c>
      <c r="F107" s="8">
        <v>0</v>
      </c>
      <c r="G107" s="8">
        <v>1</v>
      </c>
      <c r="H107" s="8">
        <v>1</v>
      </c>
      <c r="I107" s="8">
        <v>0</v>
      </c>
      <c r="J107" s="6">
        <v>22</v>
      </c>
      <c r="K107" s="8">
        <v>1</v>
      </c>
      <c r="L107" s="8">
        <v>1.2</v>
      </c>
      <c r="M107" s="8">
        <v>0.8</v>
      </c>
    </row>
    <row r="108" spans="1:13" x14ac:dyDescent="0.25">
      <c r="A108" s="99">
        <f t="shared" si="1"/>
        <v>107</v>
      </c>
      <c r="B108" s="8">
        <v>1</v>
      </c>
      <c r="C108" s="8">
        <v>2.6885843670436476</v>
      </c>
      <c r="D108" s="8">
        <v>1.3309823820353555</v>
      </c>
      <c r="E108" s="8">
        <v>0</v>
      </c>
      <c r="F108" s="8">
        <v>0</v>
      </c>
      <c r="G108" s="8">
        <v>1</v>
      </c>
      <c r="H108" s="8">
        <v>1</v>
      </c>
      <c r="I108" s="8">
        <v>0</v>
      </c>
      <c r="J108" s="6">
        <v>22</v>
      </c>
      <c r="K108" s="8">
        <v>1</v>
      </c>
      <c r="L108" s="8">
        <v>1.2</v>
      </c>
      <c r="M108" s="8">
        <v>0.8</v>
      </c>
    </row>
    <row r="109" spans="1:13" x14ac:dyDescent="0.25">
      <c r="A109" s="99">
        <f t="shared" si="1"/>
        <v>108</v>
      </c>
      <c r="B109" s="8">
        <v>1</v>
      </c>
      <c r="C109" s="8">
        <v>2.7004777775303195</v>
      </c>
      <c r="D109" s="8">
        <v>1.3066827361930309</v>
      </c>
      <c r="E109" s="8">
        <v>0</v>
      </c>
      <c r="F109" s="8">
        <v>0</v>
      </c>
      <c r="G109" s="8">
        <v>1</v>
      </c>
      <c r="H109" s="8">
        <v>1</v>
      </c>
      <c r="I109" s="8">
        <v>0</v>
      </c>
      <c r="J109" s="6">
        <v>22</v>
      </c>
      <c r="K109" s="8">
        <v>1</v>
      </c>
      <c r="L109" s="8">
        <v>1.2</v>
      </c>
      <c r="M109" s="8">
        <v>0.8</v>
      </c>
    </row>
    <row r="110" spans="1:13" x14ac:dyDescent="0.25">
      <c r="A110" s="99">
        <f t="shared" si="1"/>
        <v>109</v>
      </c>
      <c r="B110" s="8">
        <v>1</v>
      </c>
      <c r="C110" s="8">
        <v>0.90070797683845383</v>
      </c>
      <c r="D110" s="8">
        <v>0.43442506886640342</v>
      </c>
      <c r="E110" s="8">
        <v>0</v>
      </c>
      <c r="F110" s="8">
        <v>0</v>
      </c>
      <c r="G110" s="8">
        <v>1</v>
      </c>
      <c r="H110" s="8">
        <v>1</v>
      </c>
      <c r="I110" s="8">
        <v>0</v>
      </c>
      <c r="J110" s="6">
        <v>22</v>
      </c>
      <c r="K110" s="8">
        <v>1</v>
      </c>
      <c r="L110" s="8">
        <v>1.2</v>
      </c>
      <c r="M110" s="8">
        <v>0.8</v>
      </c>
    </row>
    <row r="111" spans="1:13" x14ac:dyDescent="0.25">
      <c r="A111" s="99">
        <f t="shared" si="1"/>
        <v>110</v>
      </c>
      <c r="B111" s="8">
        <v>1</v>
      </c>
      <c r="C111" s="8">
        <v>0.90043415062797749</v>
      </c>
      <c r="D111" s="8">
        <v>0.43499234520031815</v>
      </c>
      <c r="E111" s="8">
        <v>0</v>
      </c>
      <c r="F111" s="8">
        <v>0</v>
      </c>
      <c r="G111" s="8">
        <v>1</v>
      </c>
      <c r="H111" s="8">
        <v>1</v>
      </c>
      <c r="I111" s="8">
        <v>0</v>
      </c>
      <c r="J111" s="6">
        <v>22</v>
      </c>
      <c r="K111" s="8">
        <v>1</v>
      </c>
      <c r="L111" s="8">
        <v>1.2</v>
      </c>
      <c r="M111" s="8">
        <v>0.8</v>
      </c>
    </row>
    <row r="112" spans="1:13" x14ac:dyDescent="0.25">
      <c r="A112" s="99">
        <f t="shared" si="1"/>
        <v>111</v>
      </c>
      <c r="B112" s="8">
        <v>1</v>
      </c>
      <c r="C112" s="8">
        <v>0.90125242873578226</v>
      </c>
      <c r="D112" s="8">
        <v>0.43329442610983782</v>
      </c>
      <c r="E112" s="8">
        <v>0</v>
      </c>
      <c r="F112" s="8">
        <v>0</v>
      </c>
      <c r="G112" s="8">
        <v>1</v>
      </c>
      <c r="H112" s="8">
        <v>1</v>
      </c>
      <c r="I112" s="8">
        <v>0</v>
      </c>
      <c r="J112" s="6">
        <v>22</v>
      </c>
      <c r="K112" s="8">
        <v>1</v>
      </c>
      <c r="L112" s="8">
        <v>1.2</v>
      </c>
      <c r="M112" s="8">
        <v>0.8</v>
      </c>
    </row>
    <row r="113" spans="1:13" x14ac:dyDescent="0.25">
      <c r="A113" s="99">
        <f t="shared" si="1"/>
        <v>112</v>
      </c>
      <c r="B113" s="8">
        <v>1</v>
      </c>
      <c r="C113" s="8">
        <v>0</v>
      </c>
      <c r="D113" s="8">
        <v>0</v>
      </c>
      <c r="E113" s="8">
        <v>0</v>
      </c>
      <c r="F113" s="8">
        <v>0</v>
      </c>
      <c r="G113" s="8">
        <v>1</v>
      </c>
      <c r="H113" s="8">
        <v>1</v>
      </c>
      <c r="I113" s="8">
        <v>0</v>
      </c>
      <c r="J113" s="6">
        <v>22</v>
      </c>
      <c r="K113" s="8">
        <v>1</v>
      </c>
      <c r="L113" s="8">
        <v>1.2</v>
      </c>
      <c r="M113" s="8">
        <v>0.8</v>
      </c>
    </row>
    <row r="114" spans="1:13" x14ac:dyDescent="0.25">
      <c r="A114" s="99">
        <f t="shared" si="1"/>
        <v>113</v>
      </c>
      <c r="B114" s="8">
        <v>1</v>
      </c>
      <c r="C114" s="8">
        <v>11.72679534203694</v>
      </c>
      <c r="D114" s="8">
        <v>5.6109064335435788</v>
      </c>
      <c r="E114" s="8">
        <v>0</v>
      </c>
      <c r="F114" s="8">
        <v>0</v>
      </c>
      <c r="G114" s="8">
        <v>1</v>
      </c>
      <c r="H114" s="8">
        <v>1</v>
      </c>
      <c r="I114" s="8">
        <v>0</v>
      </c>
      <c r="J114" s="6">
        <v>22</v>
      </c>
      <c r="K114" s="8">
        <v>1</v>
      </c>
      <c r="L114" s="8">
        <v>1.2</v>
      </c>
      <c r="M114" s="8">
        <v>0.8</v>
      </c>
    </row>
    <row r="115" spans="1:13" x14ac:dyDescent="0.25">
      <c r="A115" s="99">
        <f t="shared" si="1"/>
        <v>114</v>
      </c>
      <c r="B115" s="8">
        <v>1</v>
      </c>
      <c r="C115" s="8">
        <v>15.231594649538238</v>
      </c>
      <c r="D115" s="8">
        <v>7.5497367127707253</v>
      </c>
      <c r="E115" s="8">
        <v>0</v>
      </c>
      <c r="F115" s="8">
        <v>0</v>
      </c>
      <c r="G115" s="8">
        <v>1</v>
      </c>
      <c r="H115" s="8">
        <v>1</v>
      </c>
      <c r="I115" s="8">
        <v>0</v>
      </c>
      <c r="J115" s="6">
        <v>22</v>
      </c>
      <c r="K115" s="8">
        <v>1</v>
      </c>
      <c r="L115" s="8">
        <v>1.2</v>
      </c>
      <c r="M115" s="8">
        <v>0.8</v>
      </c>
    </row>
    <row r="116" spans="1:13" x14ac:dyDescent="0.25">
      <c r="A116" s="99">
        <f t="shared" si="1"/>
        <v>115</v>
      </c>
      <c r="B116" s="8">
        <v>1</v>
      </c>
      <c r="C116" s="8">
        <v>13.546308033046181</v>
      </c>
      <c r="D116" s="8">
        <v>6.4418583245697434</v>
      </c>
      <c r="E116" s="8">
        <v>0</v>
      </c>
      <c r="F116" s="8">
        <v>0</v>
      </c>
      <c r="G116" s="8">
        <v>1</v>
      </c>
      <c r="H116" s="8">
        <v>1</v>
      </c>
      <c r="I116" s="8">
        <v>0</v>
      </c>
      <c r="J116" s="6">
        <v>22</v>
      </c>
      <c r="K116" s="8">
        <v>1</v>
      </c>
      <c r="L116" s="8">
        <v>1.2</v>
      </c>
      <c r="M116" s="8">
        <v>0.8</v>
      </c>
    </row>
    <row r="117" spans="1:13" x14ac:dyDescent="0.25">
      <c r="A117" s="99">
        <f t="shared" si="1"/>
        <v>116</v>
      </c>
      <c r="B117" s="8">
        <v>1</v>
      </c>
      <c r="C117" s="8">
        <v>4.4569256779329312</v>
      </c>
      <c r="D117" s="8">
        <v>2.2662333289805092</v>
      </c>
      <c r="E117" s="8">
        <v>0</v>
      </c>
      <c r="F117" s="8">
        <v>0</v>
      </c>
      <c r="G117" s="8">
        <v>1</v>
      </c>
      <c r="H117" s="8">
        <v>1</v>
      </c>
      <c r="I117" s="8">
        <v>0</v>
      </c>
      <c r="J117" s="6">
        <v>22</v>
      </c>
      <c r="K117" s="8">
        <v>1</v>
      </c>
      <c r="L117" s="8">
        <v>1.2</v>
      </c>
      <c r="M117" s="8">
        <v>0.8</v>
      </c>
    </row>
    <row r="118" spans="1:13" x14ac:dyDescent="0.25">
      <c r="A118" s="99">
        <f t="shared" si="1"/>
        <v>117</v>
      </c>
      <c r="B118" s="8">
        <v>1</v>
      </c>
      <c r="C118" s="8">
        <v>5.3665631463696029</v>
      </c>
      <c r="D118" s="8">
        <v>2.6832815722595327</v>
      </c>
      <c r="E118" s="8">
        <v>0</v>
      </c>
      <c r="F118" s="8">
        <v>0</v>
      </c>
      <c r="G118" s="8">
        <v>1</v>
      </c>
      <c r="H118" s="8">
        <v>1</v>
      </c>
      <c r="I118" s="8">
        <v>0</v>
      </c>
      <c r="J118" s="6">
        <v>22</v>
      </c>
      <c r="K118" s="8">
        <v>1</v>
      </c>
      <c r="L118" s="8">
        <v>1.2</v>
      </c>
      <c r="M118" s="8">
        <v>0.8</v>
      </c>
    </row>
    <row r="119" spans="1:13" x14ac:dyDescent="0.25">
      <c r="A119" s="99">
        <f t="shared" si="1"/>
        <v>118</v>
      </c>
      <c r="B119" s="8">
        <v>1</v>
      </c>
      <c r="C119" s="8">
        <v>27.971005879074962</v>
      </c>
      <c r="D119" s="8">
        <v>13.364985226806423</v>
      </c>
      <c r="E119" s="8">
        <v>0</v>
      </c>
      <c r="F119" s="8">
        <v>0</v>
      </c>
      <c r="G119" s="8">
        <v>1</v>
      </c>
      <c r="H119" s="8">
        <v>1</v>
      </c>
      <c r="I119" s="8">
        <v>0</v>
      </c>
      <c r="J119" s="6">
        <v>22</v>
      </c>
      <c r="K119" s="8">
        <v>1</v>
      </c>
      <c r="L119" s="8">
        <v>1.2</v>
      </c>
      <c r="M119" s="8">
        <v>0.8</v>
      </c>
    </row>
    <row r="120" spans="1:13" x14ac:dyDescent="0.25">
      <c r="A120" s="99">
        <f t="shared" si="1"/>
        <v>119</v>
      </c>
      <c r="B120" s="8">
        <v>1</v>
      </c>
      <c r="C120" s="8">
        <v>14.37579171484338</v>
      </c>
      <c r="D120" s="8">
        <v>7.0240026033195928</v>
      </c>
      <c r="E120" s="8">
        <v>0</v>
      </c>
      <c r="F120" s="8">
        <v>0</v>
      </c>
      <c r="G120" s="8">
        <v>1</v>
      </c>
      <c r="H120" s="8">
        <v>1</v>
      </c>
      <c r="I120" s="8">
        <v>0</v>
      </c>
      <c r="J120" s="6">
        <v>22</v>
      </c>
      <c r="K120" s="8">
        <v>1</v>
      </c>
      <c r="L120" s="8">
        <v>1.2</v>
      </c>
      <c r="M120" s="8">
        <v>0.8</v>
      </c>
    </row>
    <row r="121" spans="1:13" x14ac:dyDescent="0.25">
      <c r="A121" s="99">
        <f t="shared" si="1"/>
        <v>120</v>
      </c>
      <c r="B121" s="8">
        <v>1</v>
      </c>
      <c r="C121" s="8">
        <v>5.380648067296117</v>
      </c>
      <c r="D121" s="8">
        <v>2.6549249284871617</v>
      </c>
      <c r="E121" s="8">
        <v>0</v>
      </c>
      <c r="F121" s="8">
        <v>0</v>
      </c>
      <c r="G121" s="8">
        <v>1</v>
      </c>
      <c r="H121" s="8">
        <v>1</v>
      </c>
      <c r="I121" s="8">
        <v>0</v>
      </c>
      <c r="J121" s="6">
        <v>22</v>
      </c>
      <c r="K121" s="8">
        <v>1</v>
      </c>
      <c r="L121" s="8">
        <v>1.2</v>
      </c>
      <c r="M121" s="8">
        <v>0.8</v>
      </c>
    </row>
    <row r="122" spans="1:13" x14ac:dyDescent="0.25">
      <c r="A122" s="99">
        <f t="shared" si="1"/>
        <v>121</v>
      </c>
      <c r="B122" s="8">
        <v>1</v>
      </c>
      <c r="C122" s="8">
        <v>2.6931216372109472</v>
      </c>
      <c r="D122" s="8">
        <v>1.3217775331674491</v>
      </c>
      <c r="E122" s="8">
        <v>0</v>
      </c>
      <c r="F122" s="8">
        <v>0</v>
      </c>
      <c r="G122" s="8">
        <v>1</v>
      </c>
      <c r="H122" s="8">
        <v>1</v>
      </c>
      <c r="I122" s="8">
        <v>0</v>
      </c>
      <c r="J122" s="6">
        <v>22</v>
      </c>
      <c r="K122" s="8">
        <v>1</v>
      </c>
      <c r="L122" s="8">
        <v>1.2</v>
      </c>
      <c r="M122" s="8">
        <v>0.8</v>
      </c>
    </row>
    <row r="123" spans="1:13" x14ac:dyDescent="0.25">
      <c r="A123" s="99">
        <f t="shared" si="1"/>
        <v>122</v>
      </c>
      <c r="B123" s="8">
        <v>1</v>
      </c>
      <c r="C123" s="8">
        <v>6.2931109951909603</v>
      </c>
      <c r="D123" s="8">
        <v>3.0654125337720273</v>
      </c>
      <c r="E123" s="8">
        <v>0</v>
      </c>
      <c r="F123" s="8">
        <v>0</v>
      </c>
      <c r="G123" s="8">
        <v>1</v>
      </c>
      <c r="H123" s="8">
        <v>1</v>
      </c>
      <c r="I123" s="8">
        <v>0</v>
      </c>
      <c r="J123" s="6">
        <v>22</v>
      </c>
      <c r="K123" s="8">
        <v>1</v>
      </c>
      <c r="L123" s="8">
        <v>1.2</v>
      </c>
      <c r="M123" s="8">
        <v>0.8</v>
      </c>
    </row>
    <row r="124" spans="1:13" x14ac:dyDescent="0.25">
      <c r="A124" s="99">
        <f t="shared" si="1"/>
        <v>123</v>
      </c>
      <c r="B124" s="8">
        <v>1</v>
      </c>
      <c r="C124" s="8">
        <v>32.242930179201068</v>
      </c>
      <c r="D124" s="8">
        <v>16.012290699933128</v>
      </c>
      <c r="E124" s="8">
        <v>0</v>
      </c>
      <c r="F124" s="8">
        <v>0</v>
      </c>
      <c r="G124" s="8">
        <v>1</v>
      </c>
      <c r="H124" s="8">
        <v>1</v>
      </c>
      <c r="I124" s="8">
        <v>0</v>
      </c>
      <c r="J124" s="6">
        <v>22</v>
      </c>
      <c r="K124" s="8">
        <v>1</v>
      </c>
      <c r="L124" s="8">
        <v>1.2</v>
      </c>
      <c r="M124" s="8">
        <v>0.8</v>
      </c>
    </row>
    <row r="125" spans="1:13" x14ac:dyDescent="0.25">
      <c r="A125" s="99">
        <f t="shared" si="1"/>
        <v>124</v>
      </c>
      <c r="B125" s="8">
        <v>1</v>
      </c>
      <c r="C125" s="8">
        <v>2.7025334319144925</v>
      </c>
      <c r="D125" s="8">
        <v>1.3024258325849021</v>
      </c>
      <c r="E125" s="8">
        <v>0</v>
      </c>
      <c r="F125" s="8">
        <v>0</v>
      </c>
      <c r="G125" s="8">
        <v>1</v>
      </c>
      <c r="H125" s="8">
        <v>1</v>
      </c>
      <c r="I125" s="8">
        <v>0</v>
      </c>
      <c r="J125" s="6">
        <v>22</v>
      </c>
      <c r="K125" s="8">
        <v>1</v>
      </c>
      <c r="L125" s="8">
        <v>1.2</v>
      </c>
      <c r="M125" s="8">
        <v>0.8</v>
      </c>
    </row>
    <row r="126" spans="1:13" x14ac:dyDescent="0.25">
      <c r="A126" s="99">
        <f t="shared" si="1"/>
        <v>125</v>
      </c>
      <c r="B126" s="8">
        <v>1</v>
      </c>
      <c r="C126" s="8">
        <v>3.6373840327307358</v>
      </c>
      <c r="D126" s="8">
        <v>1.6641626718669931</v>
      </c>
      <c r="E126" s="8">
        <v>0</v>
      </c>
      <c r="F126" s="8">
        <v>0</v>
      </c>
      <c r="G126" s="8">
        <v>1</v>
      </c>
      <c r="H126" s="8">
        <v>1</v>
      </c>
      <c r="I126" s="8">
        <v>0</v>
      </c>
      <c r="J126" s="6">
        <v>22</v>
      </c>
      <c r="K126" s="8">
        <v>1</v>
      </c>
      <c r="L126" s="8">
        <v>1.2</v>
      </c>
      <c r="M126" s="8">
        <v>0.8</v>
      </c>
    </row>
    <row r="127" spans="1:13" x14ac:dyDescent="0.25">
      <c r="A127" s="99">
        <f t="shared" si="1"/>
        <v>126</v>
      </c>
      <c r="B127" s="8">
        <v>1</v>
      </c>
      <c r="C127" s="8">
        <v>10.807899252581812</v>
      </c>
      <c r="D127" s="8">
        <v>5.2143373256859311</v>
      </c>
      <c r="E127" s="8">
        <v>0</v>
      </c>
      <c r="F127" s="8">
        <v>0</v>
      </c>
      <c r="G127" s="8">
        <v>1</v>
      </c>
      <c r="H127" s="8">
        <v>1</v>
      </c>
      <c r="I127" s="8">
        <v>0</v>
      </c>
      <c r="J127" s="6">
        <v>22</v>
      </c>
      <c r="K127" s="8">
        <v>1</v>
      </c>
      <c r="L127" s="8">
        <v>1.2</v>
      </c>
      <c r="M127" s="8">
        <v>0.8</v>
      </c>
    </row>
    <row r="128" spans="1:13" x14ac:dyDescent="0.25">
      <c r="A128" s="99">
        <f t="shared" si="1"/>
        <v>127</v>
      </c>
      <c r="B128" s="8">
        <v>1</v>
      </c>
      <c r="C128" s="8">
        <v>4.4938422714614239</v>
      </c>
      <c r="D128" s="8">
        <v>2.1921180714611221</v>
      </c>
      <c r="E128" s="8">
        <v>0</v>
      </c>
      <c r="F128" s="8">
        <v>0</v>
      </c>
      <c r="G128" s="8">
        <v>1</v>
      </c>
      <c r="H128" s="8">
        <v>1</v>
      </c>
      <c r="I128" s="8">
        <v>0</v>
      </c>
      <c r="J128" s="6">
        <v>22</v>
      </c>
      <c r="K128" s="8">
        <v>1</v>
      </c>
      <c r="L128" s="8">
        <v>1.2</v>
      </c>
      <c r="M128" s="8">
        <v>0.8</v>
      </c>
    </row>
    <row r="129" spans="1:13" x14ac:dyDescent="0.25">
      <c r="A129" s="99">
        <f t="shared" si="1"/>
        <v>128</v>
      </c>
      <c r="B129" s="8">
        <v>1</v>
      </c>
      <c r="C129" s="8">
        <v>3.614602463467929</v>
      </c>
      <c r="D129" s="8">
        <v>1.7130817350878444</v>
      </c>
      <c r="E129" s="8">
        <v>0</v>
      </c>
      <c r="F129" s="8">
        <v>0</v>
      </c>
      <c r="G129" s="8">
        <v>1</v>
      </c>
      <c r="H129" s="8">
        <v>1</v>
      </c>
      <c r="I129" s="8">
        <v>0</v>
      </c>
      <c r="J129" s="6">
        <v>22</v>
      </c>
      <c r="K129" s="8">
        <v>1</v>
      </c>
      <c r="L129" s="8">
        <v>1.2</v>
      </c>
      <c r="M129" s="8">
        <v>0.8</v>
      </c>
    </row>
    <row r="130" spans="1:13" x14ac:dyDescent="0.25">
      <c r="A130" s="99">
        <f t="shared" si="1"/>
        <v>129</v>
      </c>
      <c r="B130" s="8">
        <v>1</v>
      </c>
      <c r="C130" s="8">
        <v>3.48</v>
      </c>
      <c r="D130" s="8">
        <v>1.972206885699368</v>
      </c>
      <c r="E130" s="8">
        <v>0</v>
      </c>
      <c r="F130" s="8">
        <v>0</v>
      </c>
      <c r="G130" s="8">
        <v>1</v>
      </c>
      <c r="H130" s="8">
        <v>1</v>
      </c>
      <c r="I130" s="8">
        <v>0</v>
      </c>
      <c r="J130" s="6">
        <v>22</v>
      </c>
      <c r="K130" s="8">
        <v>1</v>
      </c>
      <c r="L130" s="8">
        <v>1.2</v>
      </c>
      <c r="M130" s="8">
        <v>0.8</v>
      </c>
    </row>
    <row r="131" spans="1:13" x14ac:dyDescent="0.25">
      <c r="A131" s="99">
        <f t="shared" si="1"/>
        <v>130</v>
      </c>
      <c r="B131" s="8">
        <v>1</v>
      </c>
      <c r="C131" s="8">
        <v>10.730977051664029</v>
      </c>
      <c r="D131" s="8">
        <v>5.370859476532595</v>
      </c>
      <c r="E131" s="8">
        <v>0</v>
      </c>
      <c r="F131" s="8">
        <v>0</v>
      </c>
      <c r="G131" s="8">
        <v>1</v>
      </c>
      <c r="H131" s="8">
        <v>1</v>
      </c>
      <c r="I131" s="8">
        <v>0</v>
      </c>
      <c r="J131" s="6">
        <v>22</v>
      </c>
      <c r="K131" s="8">
        <v>1</v>
      </c>
      <c r="L131" s="8">
        <v>1.2</v>
      </c>
      <c r="M131" s="8">
        <v>0.8</v>
      </c>
    </row>
    <row r="132" spans="1:13" x14ac:dyDescent="0.25">
      <c r="A132" s="99">
        <f t="shared" ref="A132:A195" si="2">A131+1</f>
        <v>131</v>
      </c>
      <c r="B132" s="8">
        <v>1</v>
      </c>
      <c r="C132" s="8">
        <v>3.5906037214024851</v>
      </c>
      <c r="D132" s="8">
        <v>1.7628286688872024</v>
      </c>
      <c r="E132" s="8">
        <v>0</v>
      </c>
      <c r="F132" s="8">
        <v>0</v>
      </c>
      <c r="G132" s="8">
        <v>1</v>
      </c>
      <c r="H132" s="8">
        <v>1</v>
      </c>
      <c r="I132" s="8">
        <v>0</v>
      </c>
      <c r="J132" s="6">
        <v>22</v>
      </c>
      <c r="K132" s="8">
        <v>1</v>
      </c>
      <c r="L132" s="8">
        <v>1.2</v>
      </c>
      <c r="M132" s="8">
        <v>0.8</v>
      </c>
    </row>
    <row r="133" spans="1:13" x14ac:dyDescent="0.25">
      <c r="A133" s="99">
        <f t="shared" si="2"/>
        <v>132</v>
      </c>
      <c r="B133" s="8">
        <v>1</v>
      </c>
      <c r="C133" s="8">
        <v>7.1611144844541021</v>
      </c>
      <c r="D133" s="8">
        <v>3.5662920997222951</v>
      </c>
      <c r="E133" s="8">
        <v>0</v>
      </c>
      <c r="F133" s="8">
        <v>0</v>
      </c>
      <c r="G133" s="8">
        <v>1</v>
      </c>
      <c r="H133" s="8">
        <v>1</v>
      </c>
      <c r="I133" s="8">
        <v>0</v>
      </c>
      <c r="J133" s="6">
        <v>22</v>
      </c>
      <c r="K133" s="8">
        <v>1</v>
      </c>
      <c r="L133" s="8">
        <v>1.2</v>
      </c>
      <c r="M133" s="8">
        <v>0.8</v>
      </c>
    </row>
    <row r="134" spans="1:13" x14ac:dyDescent="0.25">
      <c r="A134" s="99">
        <f t="shared" si="2"/>
        <v>133</v>
      </c>
      <c r="B134" s="8">
        <v>1</v>
      </c>
      <c r="C134" s="8">
        <v>16.095081551441865</v>
      </c>
      <c r="D134" s="8">
        <v>8.0590539055422461</v>
      </c>
      <c r="E134" s="8">
        <v>0</v>
      </c>
      <c r="F134" s="8">
        <v>0</v>
      </c>
      <c r="G134" s="8">
        <v>1</v>
      </c>
      <c r="H134" s="8">
        <v>1</v>
      </c>
      <c r="I134" s="8">
        <v>0</v>
      </c>
      <c r="J134" s="6">
        <v>22</v>
      </c>
      <c r="K134" s="8">
        <v>1</v>
      </c>
      <c r="L134" s="8">
        <v>1.2</v>
      </c>
      <c r="M134" s="8">
        <v>0.8</v>
      </c>
    </row>
    <row r="135" spans="1:13" x14ac:dyDescent="0.25">
      <c r="A135" s="99">
        <f t="shared" si="2"/>
        <v>134</v>
      </c>
      <c r="B135" s="8">
        <v>1</v>
      </c>
      <c r="C135" s="8">
        <v>121.49859674558436</v>
      </c>
      <c r="D135" s="8">
        <v>61.107208976141898</v>
      </c>
      <c r="E135" s="8">
        <v>0</v>
      </c>
      <c r="F135" s="8">
        <v>0</v>
      </c>
      <c r="G135" s="8">
        <v>1</v>
      </c>
      <c r="H135" s="8">
        <v>1</v>
      </c>
      <c r="I135" s="8">
        <v>0</v>
      </c>
      <c r="J135" s="104">
        <v>66</v>
      </c>
      <c r="K135" s="8">
        <v>1</v>
      </c>
      <c r="L135" s="8">
        <v>1.2</v>
      </c>
      <c r="M135" s="8">
        <v>0.8</v>
      </c>
    </row>
    <row r="136" spans="1:13" x14ac:dyDescent="0.25">
      <c r="A136" s="99">
        <f t="shared" si="2"/>
        <v>135</v>
      </c>
      <c r="B136" s="8">
        <v>1</v>
      </c>
      <c r="C136" s="8">
        <v>0</v>
      </c>
      <c r="D136" s="8">
        <v>0</v>
      </c>
      <c r="E136" s="8">
        <v>0</v>
      </c>
      <c r="F136" s="8">
        <v>0</v>
      </c>
      <c r="G136" s="8">
        <v>1</v>
      </c>
      <c r="H136" s="8">
        <v>1</v>
      </c>
      <c r="I136" s="8">
        <v>0</v>
      </c>
      <c r="J136" s="6">
        <v>22</v>
      </c>
      <c r="K136" s="8">
        <v>1</v>
      </c>
      <c r="L136" s="8">
        <v>1.2</v>
      </c>
      <c r="M136" s="8">
        <v>0.8</v>
      </c>
    </row>
    <row r="137" spans="1:13" x14ac:dyDescent="0.25">
      <c r="A137" s="99">
        <f t="shared" si="2"/>
        <v>136</v>
      </c>
      <c r="B137" s="8">
        <v>1</v>
      </c>
      <c r="C137" s="8">
        <v>4.4784703376719541</v>
      </c>
      <c r="D137" s="8">
        <v>2.2233540956384914</v>
      </c>
      <c r="E137" s="8">
        <v>0</v>
      </c>
      <c r="F137" s="8">
        <v>0</v>
      </c>
      <c r="G137" s="8">
        <v>1</v>
      </c>
      <c r="H137" s="8">
        <v>1</v>
      </c>
      <c r="I137" s="8">
        <v>0</v>
      </c>
      <c r="J137" s="6">
        <v>22</v>
      </c>
      <c r="K137" s="8">
        <v>1</v>
      </c>
      <c r="L137" s="8">
        <v>1.2</v>
      </c>
      <c r="M137" s="8">
        <v>0.8</v>
      </c>
    </row>
    <row r="138" spans="1:13" x14ac:dyDescent="0.25">
      <c r="A138" s="99">
        <f t="shared" si="2"/>
        <v>137</v>
      </c>
      <c r="B138" s="8">
        <v>1</v>
      </c>
      <c r="C138" s="8">
        <v>5.3830239679097884</v>
      </c>
      <c r="D138" s="8">
        <v>2.6501043301932015</v>
      </c>
      <c r="E138" s="8">
        <v>0</v>
      </c>
      <c r="F138" s="8">
        <v>0</v>
      </c>
      <c r="G138" s="8">
        <v>1</v>
      </c>
      <c r="H138" s="8">
        <v>1</v>
      </c>
      <c r="I138" s="8">
        <v>0</v>
      </c>
      <c r="J138" s="6">
        <v>22</v>
      </c>
      <c r="K138" s="8">
        <v>1</v>
      </c>
      <c r="L138" s="8">
        <v>1.2</v>
      </c>
      <c r="M138" s="8">
        <v>0.8</v>
      </c>
    </row>
    <row r="139" spans="1:13" x14ac:dyDescent="0.25">
      <c r="A139" s="99">
        <f t="shared" si="2"/>
        <v>138</v>
      </c>
      <c r="B139" s="8">
        <v>1</v>
      </c>
      <c r="C139" s="8">
        <v>3.6014832418706475</v>
      </c>
      <c r="D139" s="8">
        <v>1.740493739869492</v>
      </c>
      <c r="E139" s="8">
        <v>0</v>
      </c>
      <c r="F139" s="8">
        <v>0</v>
      </c>
      <c r="G139" s="8">
        <v>1</v>
      </c>
      <c r="H139" s="8">
        <v>1</v>
      </c>
      <c r="I139" s="8">
        <v>0</v>
      </c>
      <c r="J139" s="6">
        <v>22</v>
      </c>
      <c r="K139" s="8">
        <v>1</v>
      </c>
      <c r="L139" s="8">
        <v>1.2</v>
      </c>
      <c r="M139" s="8">
        <v>0.8</v>
      </c>
    </row>
    <row r="140" spans="1:13" x14ac:dyDescent="0.25">
      <c r="A140" s="99">
        <f t="shared" si="2"/>
        <v>139</v>
      </c>
      <c r="B140" s="8">
        <v>1</v>
      </c>
      <c r="C140" s="8">
        <v>0</v>
      </c>
      <c r="D140" s="8">
        <v>0</v>
      </c>
      <c r="E140" s="8">
        <v>0</v>
      </c>
      <c r="F140" s="8">
        <v>0</v>
      </c>
      <c r="G140" s="8">
        <v>1</v>
      </c>
      <c r="H140" s="8">
        <v>1</v>
      </c>
      <c r="I140" s="8">
        <v>0</v>
      </c>
      <c r="J140" s="6">
        <v>22</v>
      </c>
      <c r="K140" s="8">
        <v>1</v>
      </c>
      <c r="L140" s="8">
        <v>1.2</v>
      </c>
      <c r="M140" s="8">
        <v>0.8</v>
      </c>
    </row>
    <row r="141" spans="1:13" x14ac:dyDescent="0.25">
      <c r="A141" s="99">
        <f t="shared" si="2"/>
        <v>140</v>
      </c>
      <c r="B141" s="8">
        <v>1</v>
      </c>
      <c r="C141" s="8">
        <v>0</v>
      </c>
      <c r="D141" s="8">
        <v>0</v>
      </c>
      <c r="E141" s="8">
        <v>0</v>
      </c>
      <c r="F141" s="8">
        <v>0</v>
      </c>
      <c r="G141" s="8">
        <v>1</v>
      </c>
      <c r="H141" s="8">
        <v>1</v>
      </c>
      <c r="I141" s="8">
        <v>0</v>
      </c>
      <c r="J141" s="6">
        <v>22</v>
      </c>
      <c r="K141" s="8">
        <v>1</v>
      </c>
      <c r="L141" s="8">
        <v>1.2</v>
      </c>
      <c r="M141" s="8">
        <v>0.8</v>
      </c>
    </row>
    <row r="142" spans="1:13" x14ac:dyDescent="0.25">
      <c r="A142" s="99">
        <f t="shared" si="2"/>
        <v>141</v>
      </c>
      <c r="B142" s="8">
        <v>1</v>
      </c>
      <c r="C142" s="8">
        <v>17.099999999999998</v>
      </c>
      <c r="D142" s="8">
        <v>5.6204981985585665</v>
      </c>
      <c r="E142" s="8">
        <v>0</v>
      </c>
      <c r="F142" s="8">
        <v>0</v>
      </c>
      <c r="G142" s="8">
        <v>1</v>
      </c>
      <c r="H142" s="8">
        <v>1</v>
      </c>
      <c r="I142" s="8">
        <v>0</v>
      </c>
      <c r="J142" s="6">
        <v>22</v>
      </c>
      <c r="K142" s="8">
        <v>1</v>
      </c>
      <c r="L142" s="8">
        <v>1.2</v>
      </c>
      <c r="M142" s="8">
        <v>0.8</v>
      </c>
    </row>
    <row r="143" spans="1:13" x14ac:dyDescent="0.25">
      <c r="A143" s="99">
        <f t="shared" si="2"/>
        <v>142</v>
      </c>
      <c r="B143" s="8">
        <v>1</v>
      </c>
      <c r="C143" s="8">
        <v>0</v>
      </c>
      <c r="D143" s="8">
        <v>0</v>
      </c>
      <c r="E143" s="8">
        <v>0</v>
      </c>
      <c r="F143" s="8">
        <v>0</v>
      </c>
      <c r="G143" s="8">
        <v>1</v>
      </c>
      <c r="H143" s="8">
        <v>1</v>
      </c>
      <c r="I143" s="8">
        <v>0</v>
      </c>
      <c r="J143" s="6">
        <v>22</v>
      </c>
      <c r="K143" s="8">
        <v>1</v>
      </c>
      <c r="L143" s="8">
        <v>1.2</v>
      </c>
      <c r="M143" s="8">
        <v>0.8</v>
      </c>
    </row>
    <row r="144" spans="1:13" x14ac:dyDescent="0.25">
      <c r="A144" s="99">
        <f t="shared" si="2"/>
        <v>143</v>
      </c>
      <c r="B144" s="8">
        <v>1</v>
      </c>
      <c r="C144" s="8">
        <v>0</v>
      </c>
      <c r="D144" s="8">
        <v>0</v>
      </c>
      <c r="E144" s="8">
        <v>0</v>
      </c>
      <c r="F144" s="8">
        <v>0</v>
      </c>
      <c r="G144" s="8">
        <v>1</v>
      </c>
      <c r="H144" s="8">
        <v>1</v>
      </c>
      <c r="I144" s="8">
        <v>0</v>
      </c>
      <c r="J144" s="6">
        <v>22</v>
      </c>
      <c r="K144" s="8">
        <v>1</v>
      </c>
      <c r="L144" s="8">
        <v>1.2</v>
      </c>
      <c r="M144" s="8">
        <v>0.8</v>
      </c>
    </row>
    <row r="145" spans="1:13" x14ac:dyDescent="0.25">
      <c r="A145" s="99">
        <f t="shared" si="2"/>
        <v>144</v>
      </c>
      <c r="B145" s="8">
        <v>1</v>
      </c>
      <c r="C145" s="8">
        <v>0</v>
      </c>
      <c r="D145" s="8">
        <v>0</v>
      </c>
      <c r="E145" s="8">
        <v>0</v>
      </c>
      <c r="F145" s="8">
        <v>0</v>
      </c>
      <c r="G145" s="8">
        <v>1</v>
      </c>
      <c r="H145" s="8">
        <v>1</v>
      </c>
      <c r="I145" s="8">
        <v>0</v>
      </c>
      <c r="J145" s="6">
        <v>22</v>
      </c>
      <c r="K145" s="8">
        <v>1</v>
      </c>
      <c r="L145" s="8">
        <v>1.2</v>
      </c>
      <c r="M145" s="8">
        <v>0.8</v>
      </c>
    </row>
    <row r="146" spans="1:13" x14ac:dyDescent="0.25">
      <c r="A146" s="99">
        <f t="shared" si="2"/>
        <v>145</v>
      </c>
      <c r="B146" s="8">
        <v>1</v>
      </c>
      <c r="C146" s="8">
        <v>0</v>
      </c>
      <c r="D146" s="8">
        <v>0</v>
      </c>
      <c r="E146" s="8">
        <v>0</v>
      </c>
      <c r="F146" s="8">
        <v>0</v>
      </c>
      <c r="G146" s="8">
        <v>1</v>
      </c>
      <c r="H146" s="8">
        <v>1</v>
      </c>
      <c r="I146" s="8">
        <v>0</v>
      </c>
      <c r="J146" s="6">
        <v>22</v>
      </c>
      <c r="K146" s="8">
        <v>1</v>
      </c>
      <c r="L146" s="8">
        <v>1.2</v>
      </c>
      <c r="M146" s="8">
        <v>0.8</v>
      </c>
    </row>
    <row r="147" spans="1:13" x14ac:dyDescent="0.25">
      <c r="A147" s="99">
        <f t="shared" si="2"/>
        <v>146</v>
      </c>
      <c r="B147" s="8">
        <v>1</v>
      </c>
      <c r="C147" s="8">
        <v>4.4780513696547839</v>
      </c>
      <c r="D147" s="8">
        <v>2.2241978173563868</v>
      </c>
      <c r="E147" s="8">
        <v>0</v>
      </c>
      <c r="F147" s="8">
        <v>0</v>
      </c>
      <c r="G147" s="8">
        <v>1</v>
      </c>
      <c r="H147" s="8">
        <v>1</v>
      </c>
      <c r="I147" s="8">
        <v>0</v>
      </c>
      <c r="J147" s="6">
        <v>22</v>
      </c>
      <c r="K147" s="8">
        <v>1</v>
      </c>
      <c r="L147" s="8">
        <v>1.2</v>
      </c>
      <c r="M147" s="8">
        <v>0.8</v>
      </c>
    </row>
    <row r="148" spans="1:13" x14ac:dyDescent="0.25">
      <c r="A148" s="99">
        <f t="shared" si="2"/>
        <v>147</v>
      </c>
      <c r="B148" s="8">
        <v>1</v>
      </c>
      <c r="C148" s="8">
        <v>17.116045315634043</v>
      </c>
      <c r="D148" s="8">
        <v>8.2486964275067098</v>
      </c>
      <c r="E148" s="8">
        <v>0</v>
      </c>
      <c r="F148" s="8">
        <v>0</v>
      </c>
      <c r="G148" s="8">
        <v>1</v>
      </c>
      <c r="H148" s="8">
        <v>1</v>
      </c>
      <c r="I148" s="8">
        <v>0</v>
      </c>
      <c r="J148" s="6">
        <v>22</v>
      </c>
      <c r="K148" s="8">
        <v>1</v>
      </c>
      <c r="L148" s="8">
        <v>1.2</v>
      </c>
      <c r="M148" s="8">
        <v>0.8</v>
      </c>
    </row>
    <row r="149" spans="1:13" x14ac:dyDescent="0.25">
      <c r="A149" s="99">
        <f t="shared" si="2"/>
        <v>148</v>
      </c>
      <c r="B149" s="8">
        <v>1</v>
      </c>
      <c r="C149" s="8">
        <v>5.5200000000000005</v>
      </c>
      <c r="D149" s="8">
        <v>2.3515101530718501</v>
      </c>
      <c r="E149" s="8">
        <v>0</v>
      </c>
      <c r="F149" s="8">
        <v>0</v>
      </c>
      <c r="G149" s="8">
        <v>1</v>
      </c>
      <c r="H149" s="8">
        <v>1</v>
      </c>
      <c r="I149" s="8">
        <v>0</v>
      </c>
      <c r="J149" s="6">
        <v>22</v>
      </c>
      <c r="K149" s="8">
        <v>1</v>
      </c>
      <c r="L149" s="8">
        <v>1.2</v>
      </c>
      <c r="M149" s="8">
        <v>0.8</v>
      </c>
    </row>
    <row r="150" spans="1:13" x14ac:dyDescent="0.25">
      <c r="A150" s="99">
        <f t="shared" si="2"/>
        <v>149</v>
      </c>
      <c r="B150" s="8">
        <v>1</v>
      </c>
      <c r="C150" s="8">
        <v>118.31051283891085</v>
      </c>
      <c r="D150" s="8">
        <v>58.537360307703587</v>
      </c>
      <c r="E150" s="8">
        <v>0</v>
      </c>
      <c r="F150" s="8">
        <v>0</v>
      </c>
      <c r="G150" s="8">
        <v>1</v>
      </c>
      <c r="H150" s="8">
        <v>1</v>
      </c>
      <c r="I150" s="8">
        <v>0</v>
      </c>
      <c r="J150" s="104">
        <v>66</v>
      </c>
      <c r="K150" s="8">
        <v>1</v>
      </c>
      <c r="L150" s="8">
        <v>1.2</v>
      </c>
      <c r="M150" s="8">
        <v>0.8</v>
      </c>
    </row>
    <row r="151" spans="1:13" x14ac:dyDescent="0.25">
      <c r="A151" s="99">
        <f t="shared" si="2"/>
        <v>150</v>
      </c>
      <c r="B151" s="8">
        <v>1</v>
      </c>
      <c r="C151" s="8">
        <v>13.950000000000001</v>
      </c>
      <c r="D151" s="8">
        <v>5.5133927848467295</v>
      </c>
      <c r="E151" s="8">
        <v>0</v>
      </c>
      <c r="F151" s="8">
        <v>0</v>
      </c>
      <c r="G151" s="8">
        <v>1</v>
      </c>
      <c r="H151" s="8">
        <v>1</v>
      </c>
      <c r="I151" s="8">
        <v>0</v>
      </c>
      <c r="J151" s="6">
        <v>22</v>
      </c>
      <c r="K151" s="8">
        <v>1</v>
      </c>
      <c r="L151" s="8">
        <v>1.2</v>
      </c>
      <c r="M151" s="8">
        <v>0.8</v>
      </c>
    </row>
    <row r="152" spans="1:13" x14ac:dyDescent="0.25">
      <c r="A152" s="99">
        <f t="shared" si="2"/>
        <v>151</v>
      </c>
      <c r="B152" s="8">
        <v>1</v>
      </c>
      <c r="C152" s="8">
        <v>0</v>
      </c>
      <c r="D152" s="8">
        <v>0</v>
      </c>
      <c r="E152" s="8">
        <v>0</v>
      </c>
      <c r="F152" s="8">
        <v>0</v>
      </c>
      <c r="G152" s="8">
        <v>1</v>
      </c>
      <c r="H152" s="8">
        <v>1</v>
      </c>
      <c r="I152" s="8">
        <v>0</v>
      </c>
      <c r="J152" s="6">
        <v>22</v>
      </c>
      <c r="K152" s="8">
        <v>1</v>
      </c>
      <c r="L152" s="8">
        <v>1.2</v>
      </c>
      <c r="M152" s="8">
        <v>0.8</v>
      </c>
    </row>
    <row r="153" spans="1:13" x14ac:dyDescent="0.25">
      <c r="A153" s="99">
        <f t="shared" si="2"/>
        <v>152</v>
      </c>
      <c r="B153" s="8">
        <v>1</v>
      </c>
      <c r="C153" s="8">
        <v>53.618878082560002</v>
      </c>
      <c r="D153" s="8">
        <v>26.926119534154321</v>
      </c>
      <c r="E153" s="8">
        <v>0</v>
      </c>
      <c r="F153" s="8">
        <v>0</v>
      </c>
      <c r="G153" s="8">
        <v>1</v>
      </c>
      <c r="H153" s="8">
        <v>1</v>
      </c>
      <c r="I153" s="8">
        <v>0</v>
      </c>
      <c r="J153" s="104">
        <v>66</v>
      </c>
      <c r="K153" s="8">
        <v>1</v>
      </c>
      <c r="L153" s="8">
        <v>1.2</v>
      </c>
      <c r="M153" s="8">
        <v>0.8</v>
      </c>
    </row>
    <row r="154" spans="1:13" x14ac:dyDescent="0.25">
      <c r="A154" s="99">
        <f t="shared" si="2"/>
        <v>153</v>
      </c>
      <c r="B154" s="8">
        <v>1</v>
      </c>
      <c r="C154" s="8">
        <v>35.777087639996637</v>
      </c>
      <c r="D154" s="8">
        <v>17.888543819998311</v>
      </c>
      <c r="E154" s="8">
        <v>0</v>
      </c>
      <c r="F154" s="8">
        <v>0</v>
      </c>
      <c r="G154" s="8">
        <v>1</v>
      </c>
      <c r="H154" s="8">
        <v>1</v>
      </c>
      <c r="I154" s="8">
        <v>0</v>
      </c>
      <c r="J154" s="104">
        <v>66</v>
      </c>
      <c r="K154" s="8">
        <v>1</v>
      </c>
      <c r="L154" s="8">
        <v>1.2</v>
      </c>
      <c r="M154" s="8">
        <v>0.8</v>
      </c>
    </row>
    <row r="155" spans="1:13" x14ac:dyDescent="0.25">
      <c r="A155" s="99">
        <f t="shared" si="2"/>
        <v>154</v>
      </c>
      <c r="B155" s="8">
        <v>1</v>
      </c>
      <c r="C155" s="8">
        <v>26.832815729997474</v>
      </c>
      <c r="D155" s="8">
        <v>13.416407864998742</v>
      </c>
      <c r="E155" s="8">
        <v>0</v>
      </c>
      <c r="F155" s="8">
        <v>0</v>
      </c>
      <c r="G155" s="8">
        <v>1</v>
      </c>
      <c r="H155" s="8">
        <v>1</v>
      </c>
      <c r="I155" s="8">
        <v>0</v>
      </c>
      <c r="J155" s="6">
        <v>22</v>
      </c>
      <c r="K155" s="8">
        <v>1</v>
      </c>
      <c r="L155" s="8">
        <v>1.2</v>
      </c>
      <c r="M155" s="8">
        <v>0.8</v>
      </c>
    </row>
    <row r="156" spans="1:13" x14ac:dyDescent="0.25">
      <c r="A156" s="99">
        <f t="shared" si="2"/>
        <v>155</v>
      </c>
      <c r="B156" s="8">
        <v>1</v>
      </c>
      <c r="C156" s="8">
        <v>13.416407864998737</v>
      </c>
      <c r="D156" s="8">
        <v>6.7082039324993712</v>
      </c>
      <c r="E156" s="8">
        <v>0</v>
      </c>
      <c r="F156" s="8">
        <v>0</v>
      </c>
      <c r="G156" s="8">
        <v>1</v>
      </c>
      <c r="H156" s="8">
        <v>1</v>
      </c>
      <c r="I156" s="8">
        <v>0</v>
      </c>
      <c r="J156" s="6">
        <v>22</v>
      </c>
      <c r="K156" s="8">
        <v>1</v>
      </c>
      <c r="L156" s="8">
        <v>1.2</v>
      </c>
      <c r="M156" s="8">
        <v>0.8</v>
      </c>
    </row>
    <row r="157" spans="1:13" x14ac:dyDescent="0.25">
      <c r="A157" s="99">
        <f t="shared" si="2"/>
        <v>156</v>
      </c>
      <c r="B157" s="8">
        <v>1</v>
      </c>
      <c r="C157" s="8">
        <v>0</v>
      </c>
      <c r="D157" s="8">
        <v>0</v>
      </c>
      <c r="E157" s="8">
        <v>0</v>
      </c>
      <c r="F157" s="8">
        <v>0</v>
      </c>
      <c r="G157" s="8">
        <v>1</v>
      </c>
      <c r="H157" s="8">
        <v>1</v>
      </c>
      <c r="I157" s="8">
        <v>0</v>
      </c>
      <c r="J157" s="104">
        <v>66</v>
      </c>
      <c r="K157" s="8">
        <v>1</v>
      </c>
      <c r="L157" s="8">
        <v>1.2</v>
      </c>
      <c r="M157" s="8">
        <v>0.8</v>
      </c>
    </row>
    <row r="158" spans="1:13" x14ac:dyDescent="0.25">
      <c r="A158" s="99">
        <f t="shared" si="2"/>
        <v>157</v>
      </c>
      <c r="B158" s="8">
        <v>1</v>
      </c>
      <c r="C158" s="8">
        <v>0</v>
      </c>
      <c r="D158" s="8">
        <v>0</v>
      </c>
      <c r="E158" s="8">
        <v>0</v>
      </c>
      <c r="F158" s="8">
        <v>0</v>
      </c>
      <c r="G158" s="8">
        <v>1</v>
      </c>
      <c r="H158" s="8">
        <v>1</v>
      </c>
      <c r="I158" s="8">
        <v>0</v>
      </c>
      <c r="J158" s="104">
        <v>66</v>
      </c>
      <c r="K158" s="8">
        <v>1</v>
      </c>
      <c r="L158" s="8">
        <v>1.2</v>
      </c>
      <c r="M158" s="8">
        <v>0.8</v>
      </c>
    </row>
    <row r="159" spans="1:13" x14ac:dyDescent="0.25">
      <c r="A159" s="99">
        <f t="shared" si="2"/>
        <v>158</v>
      </c>
      <c r="B159" s="8">
        <v>1</v>
      </c>
      <c r="C159" s="8">
        <v>27.159394394842145</v>
      </c>
      <c r="D159" s="8">
        <v>12.742342645895889</v>
      </c>
      <c r="E159" s="8">
        <v>0</v>
      </c>
      <c r="F159" s="8">
        <v>0</v>
      </c>
      <c r="G159" s="8">
        <v>1</v>
      </c>
      <c r="H159" s="8">
        <v>1</v>
      </c>
      <c r="I159" s="8">
        <v>0</v>
      </c>
      <c r="J159" s="6">
        <v>22</v>
      </c>
      <c r="K159" s="8">
        <v>1</v>
      </c>
      <c r="L159" s="8">
        <v>1.2</v>
      </c>
      <c r="M159" s="8">
        <v>0.8</v>
      </c>
    </row>
    <row r="160" spans="1:13" x14ac:dyDescent="0.25">
      <c r="A160" s="99">
        <f t="shared" si="2"/>
        <v>159</v>
      </c>
      <c r="B160" s="8">
        <v>1</v>
      </c>
      <c r="C160" s="8">
        <v>27</v>
      </c>
      <c r="D160" s="8">
        <v>13.076696830622021</v>
      </c>
      <c r="E160" s="8">
        <v>0</v>
      </c>
      <c r="F160" s="8">
        <v>0</v>
      </c>
      <c r="G160" s="8">
        <v>1</v>
      </c>
      <c r="H160" s="8">
        <v>1</v>
      </c>
      <c r="I160" s="8">
        <v>0</v>
      </c>
      <c r="J160" s="104">
        <v>66</v>
      </c>
      <c r="K160" s="8">
        <v>1</v>
      </c>
      <c r="L160" s="8">
        <v>1.2</v>
      </c>
      <c r="M160" s="8">
        <v>0.8</v>
      </c>
    </row>
    <row r="161" spans="1:13" x14ac:dyDescent="0.25">
      <c r="A161" s="99">
        <f t="shared" si="2"/>
        <v>160</v>
      </c>
      <c r="B161" s="8">
        <v>1</v>
      </c>
      <c r="C161" s="8">
        <v>27.6</v>
      </c>
      <c r="D161" s="8">
        <v>11.75755076535925</v>
      </c>
      <c r="E161" s="8">
        <v>0</v>
      </c>
      <c r="F161" s="8">
        <v>0</v>
      </c>
      <c r="G161" s="8">
        <v>1</v>
      </c>
      <c r="H161" s="8">
        <v>1</v>
      </c>
      <c r="I161" s="8">
        <v>0</v>
      </c>
      <c r="J161" s="104">
        <v>66</v>
      </c>
      <c r="K161" s="8">
        <v>1</v>
      </c>
      <c r="L161" s="8">
        <v>1.2</v>
      </c>
      <c r="M161" s="8">
        <v>0.8</v>
      </c>
    </row>
    <row r="162" spans="1:13" x14ac:dyDescent="0.25">
      <c r="A162" s="99">
        <f t="shared" si="2"/>
        <v>161</v>
      </c>
      <c r="B162" s="8">
        <v>1</v>
      </c>
      <c r="C162" s="8">
        <v>26.832815729997474</v>
      </c>
      <c r="D162" s="8">
        <v>13.416407864998742</v>
      </c>
      <c r="E162" s="8">
        <v>0</v>
      </c>
      <c r="F162" s="8">
        <v>0</v>
      </c>
      <c r="G162" s="8">
        <v>1</v>
      </c>
      <c r="H162" s="8">
        <v>1</v>
      </c>
      <c r="I162" s="8">
        <v>0</v>
      </c>
      <c r="J162" s="104">
        <v>66</v>
      </c>
      <c r="K162" s="8">
        <v>1</v>
      </c>
      <c r="L162" s="8">
        <v>1.2</v>
      </c>
      <c r="M162" s="8">
        <v>0.8</v>
      </c>
    </row>
    <row r="163" spans="1:13" x14ac:dyDescent="0.25">
      <c r="A163" s="99">
        <f t="shared" si="2"/>
        <v>162</v>
      </c>
      <c r="B163" s="8">
        <v>1</v>
      </c>
      <c r="C163" s="8">
        <v>26.832815729997474</v>
      </c>
      <c r="D163" s="8">
        <v>13.416407864998742</v>
      </c>
      <c r="E163" s="8">
        <v>0</v>
      </c>
      <c r="F163" s="8">
        <v>0</v>
      </c>
      <c r="G163" s="8">
        <v>1</v>
      </c>
      <c r="H163" s="8">
        <v>1</v>
      </c>
      <c r="I163" s="8">
        <v>0</v>
      </c>
      <c r="J163" s="104">
        <v>66</v>
      </c>
      <c r="K163" s="8">
        <v>1</v>
      </c>
      <c r="L163" s="8">
        <v>1.2</v>
      </c>
      <c r="M163" s="8">
        <v>0.8</v>
      </c>
    </row>
    <row r="164" spans="1:13" x14ac:dyDescent="0.25">
      <c r="A164" s="99">
        <f t="shared" si="2"/>
        <v>163</v>
      </c>
      <c r="B164" s="8">
        <v>1</v>
      </c>
      <c r="C164" s="8">
        <v>13.2</v>
      </c>
      <c r="D164" s="8">
        <v>7.1246052522227519</v>
      </c>
      <c r="E164" s="8">
        <v>0</v>
      </c>
      <c r="F164" s="8">
        <v>0</v>
      </c>
      <c r="G164" s="8">
        <v>1</v>
      </c>
      <c r="H164" s="8">
        <v>1</v>
      </c>
      <c r="I164" s="8">
        <v>0</v>
      </c>
      <c r="J164" s="104">
        <v>66</v>
      </c>
      <c r="K164" s="8">
        <v>1</v>
      </c>
      <c r="L164" s="8">
        <v>1.2</v>
      </c>
      <c r="M164" s="8">
        <v>0.8</v>
      </c>
    </row>
    <row r="165" spans="1:13" x14ac:dyDescent="0.25">
      <c r="A165" s="99">
        <f t="shared" si="2"/>
        <v>164</v>
      </c>
      <c r="B165" s="8">
        <v>1</v>
      </c>
      <c r="C165" s="8">
        <v>13.35</v>
      </c>
      <c r="D165" s="8">
        <v>6.8394078691067985</v>
      </c>
      <c r="E165" s="8">
        <v>0</v>
      </c>
      <c r="F165" s="8">
        <v>0</v>
      </c>
      <c r="G165" s="8">
        <v>1</v>
      </c>
      <c r="H165" s="8">
        <v>1</v>
      </c>
      <c r="I165" s="8">
        <v>0</v>
      </c>
      <c r="J165" s="6">
        <v>22</v>
      </c>
      <c r="K165" s="8">
        <v>1</v>
      </c>
      <c r="L165" s="8">
        <v>1.2</v>
      </c>
      <c r="M165" s="8">
        <v>0.8</v>
      </c>
    </row>
    <row r="166" spans="1:13" x14ac:dyDescent="0.25">
      <c r="A166" s="99">
        <f t="shared" si="2"/>
        <v>165</v>
      </c>
      <c r="B166" s="8">
        <v>1</v>
      </c>
      <c r="C166" s="8">
        <v>5.34</v>
      </c>
      <c r="D166" s="8">
        <v>2.7357631476427198</v>
      </c>
      <c r="E166" s="8">
        <v>0</v>
      </c>
      <c r="F166" s="8">
        <v>0</v>
      </c>
      <c r="G166" s="8">
        <v>1</v>
      </c>
      <c r="H166" s="8">
        <v>1</v>
      </c>
      <c r="I166" s="8">
        <v>0</v>
      </c>
      <c r="J166" s="6">
        <v>22</v>
      </c>
      <c r="K166" s="8">
        <v>1</v>
      </c>
      <c r="L166" s="8">
        <v>1.2</v>
      </c>
      <c r="M166" s="8">
        <v>0.8</v>
      </c>
    </row>
    <row r="167" spans="1:13" x14ac:dyDescent="0.25">
      <c r="A167" s="99">
        <f t="shared" si="2"/>
        <v>166</v>
      </c>
      <c r="B167" s="8">
        <v>1</v>
      </c>
      <c r="C167" s="8">
        <v>5.34</v>
      </c>
      <c r="D167" s="8">
        <v>2.7357631476427198</v>
      </c>
      <c r="E167" s="8">
        <v>0</v>
      </c>
      <c r="F167" s="8">
        <v>0</v>
      </c>
      <c r="G167" s="8">
        <v>1</v>
      </c>
      <c r="H167" s="8">
        <v>1</v>
      </c>
      <c r="I167" s="8">
        <v>0</v>
      </c>
      <c r="J167" s="6">
        <v>22</v>
      </c>
      <c r="K167" s="8">
        <v>1</v>
      </c>
      <c r="L167" s="8">
        <v>1.2</v>
      </c>
      <c r="M167" s="8">
        <v>0.8</v>
      </c>
    </row>
    <row r="168" spans="1:13" x14ac:dyDescent="0.25">
      <c r="A168" s="99">
        <f t="shared" si="2"/>
        <v>167</v>
      </c>
      <c r="B168" s="8">
        <v>1</v>
      </c>
      <c r="C168" s="8">
        <v>5.34</v>
      </c>
      <c r="D168" s="8">
        <v>2.7357631476427198</v>
      </c>
      <c r="E168" s="8">
        <v>0</v>
      </c>
      <c r="F168" s="8">
        <v>0</v>
      </c>
      <c r="G168" s="8">
        <v>1</v>
      </c>
      <c r="H168" s="8">
        <v>1</v>
      </c>
      <c r="I168" s="8">
        <v>0</v>
      </c>
      <c r="J168" s="6">
        <v>22</v>
      </c>
      <c r="K168" s="8">
        <v>1</v>
      </c>
      <c r="L168" s="8">
        <v>1.2</v>
      </c>
      <c r="M168" s="8">
        <v>0.8</v>
      </c>
    </row>
    <row r="169" spans="1:13" x14ac:dyDescent="0.25">
      <c r="A169" s="99">
        <f t="shared" si="2"/>
        <v>168</v>
      </c>
      <c r="B169" s="8">
        <v>1</v>
      </c>
      <c r="C169" s="8">
        <v>0</v>
      </c>
      <c r="D169" s="8">
        <v>0</v>
      </c>
      <c r="E169" s="8">
        <v>0</v>
      </c>
      <c r="F169" s="8">
        <v>0</v>
      </c>
      <c r="G169" s="8">
        <v>1</v>
      </c>
      <c r="H169" s="8">
        <v>1</v>
      </c>
      <c r="I169" s="8">
        <v>0</v>
      </c>
      <c r="J169" s="6">
        <v>22</v>
      </c>
      <c r="K169" s="8">
        <v>1</v>
      </c>
      <c r="L169" s="8">
        <v>1.2</v>
      </c>
      <c r="M169" s="8">
        <v>0.8</v>
      </c>
    </row>
    <row r="170" spans="1:13" x14ac:dyDescent="0.25">
      <c r="A170" s="99">
        <f t="shared" si="2"/>
        <v>169</v>
      </c>
      <c r="B170" s="8">
        <v>1</v>
      </c>
      <c r="C170" s="8">
        <v>4.75</v>
      </c>
      <c r="D170" s="8">
        <v>1.5612494995995996</v>
      </c>
      <c r="E170" s="8">
        <v>0</v>
      </c>
      <c r="F170" s="8">
        <v>0</v>
      </c>
      <c r="G170" s="8">
        <v>1</v>
      </c>
      <c r="H170" s="8">
        <v>1</v>
      </c>
      <c r="I170" s="8">
        <v>0</v>
      </c>
      <c r="J170" s="6">
        <v>22</v>
      </c>
      <c r="K170" s="8">
        <v>1</v>
      </c>
      <c r="L170" s="8">
        <v>1.2</v>
      </c>
      <c r="M170" s="8">
        <v>0.8</v>
      </c>
    </row>
    <row r="171" spans="1:13" x14ac:dyDescent="0.25">
      <c r="A171" s="99">
        <f t="shared" si="2"/>
        <v>170</v>
      </c>
      <c r="B171" s="8">
        <v>1</v>
      </c>
      <c r="C171" s="8">
        <v>4.6000000000000005</v>
      </c>
      <c r="D171" s="8">
        <v>1.9595917942265415</v>
      </c>
      <c r="E171" s="8">
        <v>0</v>
      </c>
      <c r="F171" s="8">
        <v>0</v>
      </c>
      <c r="G171" s="8">
        <v>1</v>
      </c>
      <c r="H171" s="8">
        <v>1</v>
      </c>
      <c r="I171" s="8">
        <v>0</v>
      </c>
      <c r="J171" s="6">
        <v>22</v>
      </c>
      <c r="K171" s="8">
        <v>1</v>
      </c>
      <c r="L171" s="8">
        <v>1.2</v>
      </c>
      <c r="M171" s="8">
        <v>0.8</v>
      </c>
    </row>
    <row r="172" spans="1:13" x14ac:dyDescent="0.25">
      <c r="A172" s="99">
        <f t="shared" si="2"/>
        <v>171</v>
      </c>
      <c r="B172" s="8">
        <v>1</v>
      </c>
      <c r="C172" s="8">
        <v>0</v>
      </c>
      <c r="D172" s="8">
        <v>0</v>
      </c>
      <c r="E172" s="8">
        <v>0</v>
      </c>
      <c r="F172" s="8">
        <v>0</v>
      </c>
      <c r="G172" s="8">
        <v>1</v>
      </c>
      <c r="H172" s="8">
        <v>1</v>
      </c>
      <c r="I172" s="8">
        <v>0</v>
      </c>
      <c r="J172" s="6">
        <v>22</v>
      </c>
      <c r="K172" s="8">
        <v>1</v>
      </c>
      <c r="L172" s="8">
        <v>1.2</v>
      </c>
      <c r="M172" s="8">
        <v>0.8</v>
      </c>
    </row>
    <row r="173" spans="1:13" x14ac:dyDescent="0.25">
      <c r="A173" s="99">
        <f t="shared" si="2"/>
        <v>172</v>
      </c>
      <c r="B173" s="8">
        <v>1</v>
      </c>
      <c r="C173" s="8">
        <v>0</v>
      </c>
      <c r="D173" s="8">
        <v>0</v>
      </c>
      <c r="E173" s="8">
        <v>0</v>
      </c>
      <c r="F173" s="8">
        <v>0</v>
      </c>
      <c r="G173" s="8">
        <v>1</v>
      </c>
      <c r="H173" s="8">
        <v>1</v>
      </c>
      <c r="I173" s="8">
        <v>0</v>
      </c>
      <c r="J173" s="6">
        <v>22</v>
      </c>
      <c r="K173" s="8">
        <v>1</v>
      </c>
      <c r="L173" s="8">
        <v>1.2</v>
      </c>
      <c r="M173" s="8">
        <v>0.8</v>
      </c>
    </row>
    <row r="174" spans="1:13" x14ac:dyDescent="0.25">
      <c r="A174" s="99">
        <f t="shared" si="2"/>
        <v>173</v>
      </c>
      <c r="B174" s="8">
        <v>1</v>
      </c>
      <c r="C174" s="8">
        <v>7.92</v>
      </c>
      <c r="D174" s="8">
        <v>4.2747631513336506</v>
      </c>
      <c r="E174" s="8">
        <v>0</v>
      </c>
      <c r="F174" s="8">
        <v>0</v>
      </c>
      <c r="G174" s="8">
        <v>1</v>
      </c>
      <c r="H174" s="8">
        <v>1</v>
      </c>
      <c r="I174" s="8">
        <v>0</v>
      </c>
      <c r="J174" s="6">
        <v>22</v>
      </c>
      <c r="K174" s="8">
        <v>1</v>
      </c>
      <c r="L174" s="8">
        <v>1.2</v>
      </c>
      <c r="M174" s="8">
        <v>0.8</v>
      </c>
    </row>
    <row r="175" spans="1:13" x14ac:dyDescent="0.25">
      <c r="A175" s="99">
        <f t="shared" si="2"/>
        <v>174</v>
      </c>
      <c r="B175" s="8">
        <v>1</v>
      </c>
      <c r="C175" s="8">
        <v>16.290205706847527</v>
      </c>
      <c r="D175" s="8">
        <v>7.6569705516341298</v>
      </c>
      <c r="E175" s="8">
        <v>0</v>
      </c>
      <c r="F175" s="8">
        <v>0</v>
      </c>
      <c r="G175" s="8">
        <v>1</v>
      </c>
      <c r="H175" s="8">
        <v>1</v>
      </c>
      <c r="I175" s="8">
        <v>0</v>
      </c>
      <c r="J175" s="6">
        <v>22</v>
      </c>
      <c r="K175" s="8">
        <v>1</v>
      </c>
      <c r="L175" s="8">
        <v>1.2</v>
      </c>
      <c r="M175" s="8">
        <v>0.8</v>
      </c>
    </row>
    <row r="176" spans="1:13" x14ac:dyDescent="0.25">
      <c r="A176" s="99">
        <f t="shared" si="2"/>
        <v>175</v>
      </c>
      <c r="B176" s="8">
        <v>1</v>
      </c>
      <c r="C176" s="8">
        <v>8.5499999999999989</v>
      </c>
      <c r="D176" s="8">
        <v>2.8102490992792832</v>
      </c>
      <c r="E176" s="8">
        <v>0</v>
      </c>
      <c r="F176" s="8">
        <v>0</v>
      </c>
      <c r="G176" s="8">
        <v>1</v>
      </c>
      <c r="H176" s="8">
        <v>1</v>
      </c>
      <c r="I176" s="8">
        <v>0</v>
      </c>
      <c r="J176" s="6">
        <v>22</v>
      </c>
      <c r="K176" s="8">
        <v>1</v>
      </c>
      <c r="L176" s="8">
        <v>1.2</v>
      </c>
      <c r="M176" s="8">
        <v>0.8</v>
      </c>
    </row>
    <row r="177" spans="1:13" x14ac:dyDescent="0.25">
      <c r="A177" s="99">
        <f t="shared" si="2"/>
        <v>176</v>
      </c>
      <c r="B177" s="8">
        <v>1</v>
      </c>
      <c r="C177" s="8">
        <v>16.146095901218629</v>
      </c>
      <c r="D177" s="8">
        <v>7.9563551421898575</v>
      </c>
      <c r="E177" s="8">
        <v>0</v>
      </c>
      <c r="F177" s="8">
        <v>0</v>
      </c>
      <c r="G177" s="8">
        <v>1</v>
      </c>
      <c r="H177" s="8">
        <v>1</v>
      </c>
      <c r="I177" s="8">
        <v>0</v>
      </c>
      <c r="J177" s="6">
        <v>22</v>
      </c>
      <c r="K177" s="8">
        <v>1</v>
      </c>
      <c r="L177" s="8">
        <v>1.2</v>
      </c>
      <c r="M177" s="8">
        <v>0.8</v>
      </c>
    </row>
    <row r="178" spans="1:13" x14ac:dyDescent="0.25">
      <c r="A178" s="99">
        <f t="shared" si="2"/>
        <v>177</v>
      </c>
      <c r="B178" s="8">
        <v>1</v>
      </c>
      <c r="C178" s="8">
        <v>16.142686522261577</v>
      </c>
      <c r="D178" s="8">
        <v>7.9632701727364736</v>
      </c>
      <c r="E178" s="8">
        <v>0</v>
      </c>
      <c r="F178" s="8">
        <v>0</v>
      </c>
      <c r="G178" s="8">
        <v>1</v>
      </c>
      <c r="H178" s="8">
        <v>1</v>
      </c>
      <c r="I178" s="8">
        <v>0</v>
      </c>
      <c r="J178" s="6">
        <v>22</v>
      </c>
      <c r="K178" s="8">
        <v>1</v>
      </c>
      <c r="L178" s="8">
        <v>1.2</v>
      </c>
      <c r="M178" s="8">
        <v>0.8</v>
      </c>
    </row>
    <row r="179" spans="1:13" x14ac:dyDescent="0.25">
      <c r="A179" s="99">
        <f t="shared" si="2"/>
        <v>178</v>
      </c>
      <c r="B179" s="8">
        <v>1</v>
      </c>
      <c r="C179" s="8">
        <v>16.142686522261577</v>
      </c>
      <c r="D179" s="8">
        <v>7.9632701727364736</v>
      </c>
      <c r="E179" s="8">
        <v>0</v>
      </c>
      <c r="F179" s="8">
        <v>0</v>
      </c>
      <c r="G179" s="8">
        <v>1</v>
      </c>
      <c r="H179" s="8">
        <v>1</v>
      </c>
      <c r="I179" s="8">
        <v>0</v>
      </c>
      <c r="J179" s="6">
        <v>22</v>
      </c>
      <c r="K179" s="8">
        <v>1</v>
      </c>
      <c r="L179" s="8">
        <v>1.2</v>
      </c>
      <c r="M179" s="8">
        <v>0.8</v>
      </c>
    </row>
    <row r="180" spans="1:13" x14ac:dyDescent="0.25">
      <c r="A180" s="99">
        <f t="shared" si="2"/>
        <v>179</v>
      </c>
      <c r="B180" s="8">
        <v>1</v>
      </c>
      <c r="C180" s="8">
        <v>99.876568063031982</v>
      </c>
      <c r="D180" s="8">
        <v>4.967006336873415</v>
      </c>
      <c r="E180" s="8">
        <v>0</v>
      </c>
      <c r="F180" s="8">
        <v>0</v>
      </c>
      <c r="G180" s="8">
        <v>1</v>
      </c>
      <c r="H180" s="8">
        <v>1</v>
      </c>
      <c r="I180" s="8">
        <v>0</v>
      </c>
      <c r="J180" s="104">
        <v>66</v>
      </c>
      <c r="K180" s="8">
        <v>1</v>
      </c>
      <c r="L180" s="8">
        <v>1.2</v>
      </c>
      <c r="M180" s="8">
        <v>0.8</v>
      </c>
    </row>
    <row r="181" spans="1:13" x14ac:dyDescent="0.25">
      <c r="A181" s="99">
        <f t="shared" si="2"/>
        <v>180</v>
      </c>
      <c r="B181" s="8">
        <v>1</v>
      </c>
      <c r="C181" s="8">
        <v>13.950000000000001</v>
      </c>
      <c r="D181" s="8">
        <v>5.5133927848467295</v>
      </c>
      <c r="E181" s="8">
        <v>0</v>
      </c>
      <c r="F181" s="8">
        <v>0</v>
      </c>
      <c r="G181" s="8">
        <v>1</v>
      </c>
      <c r="H181" s="8">
        <v>1</v>
      </c>
      <c r="I181" s="8">
        <v>0</v>
      </c>
      <c r="J181" s="6">
        <v>22</v>
      </c>
      <c r="K181" s="8">
        <v>1</v>
      </c>
      <c r="L181" s="8">
        <v>1.2</v>
      </c>
      <c r="M181" s="8">
        <v>0.8</v>
      </c>
    </row>
    <row r="182" spans="1:13" x14ac:dyDescent="0.25">
      <c r="A182" s="99">
        <f t="shared" si="2"/>
        <v>181</v>
      </c>
      <c r="B182" s="8">
        <v>1</v>
      </c>
      <c r="C182" s="8">
        <v>13.506512356477881</v>
      </c>
      <c r="D182" s="8">
        <v>6.5248849770942581</v>
      </c>
      <c r="E182" s="8">
        <v>0</v>
      </c>
      <c r="F182" s="8">
        <v>0</v>
      </c>
      <c r="G182" s="8">
        <v>1</v>
      </c>
      <c r="H182" s="8">
        <v>1</v>
      </c>
      <c r="I182" s="8">
        <v>0</v>
      </c>
      <c r="J182" s="6">
        <v>22</v>
      </c>
      <c r="K182" s="8">
        <v>1</v>
      </c>
      <c r="L182" s="8">
        <v>1.2</v>
      </c>
      <c r="M182" s="8">
        <v>0.8</v>
      </c>
    </row>
    <row r="183" spans="1:13" x14ac:dyDescent="0.25">
      <c r="A183" s="99">
        <f t="shared" si="2"/>
        <v>182</v>
      </c>
      <c r="B183" s="8">
        <v>1</v>
      </c>
      <c r="C183" s="8">
        <v>8.0252538365922117</v>
      </c>
      <c r="D183" s="8">
        <v>4.0737330371861624</v>
      </c>
      <c r="E183" s="8">
        <v>0</v>
      </c>
      <c r="F183" s="8">
        <v>0</v>
      </c>
      <c r="G183" s="8">
        <v>1</v>
      </c>
      <c r="H183" s="8">
        <v>1</v>
      </c>
      <c r="I183" s="8">
        <v>0</v>
      </c>
      <c r="J183" s="6">
        <v>22</v>
      </c>
      <c r="K183" s="8">
        <v>1</v>
      </c>
      <c r="L183" s="8">
        <v>1.2</v>
      </c>
      <c r="M183" s="8">
        <v>0.8</v>
      </c>
    </row>
    <row r="184" spans="1:13" x14ac:dyDescent="0.25">
      <c r="A184" s="99">
        <f t="shared" si="2"/>
        <v>183</v>
      </c>
      <c r="B184" s="8">
        <v>1</v>
      </c>
      <c r="C184" s="8">
        <v>7.92</v>
      </c>
      <c r="D184" s="8">
        <v>4.2747631513336506</v>
      </c>
      <c r="E184" s="8">
        <v>0</v>
      </c>
      <c r="F184" s="8">
        <v>0</v>
      </c>
      <c r="G184" s="8">
        <v>1</v>
      </c>
      <c r="H184" s="8">
        <v>1</v>
      </c>
      <c r="I184" s="8">
        <v>0</v>
      </c>
      <c r="J184" s="6">
        <v>22</v>
      </c>
      <c r="K184" s="8">
        <v>1</v>
      </c>
      <c r="L184" s="8">
        <v>1.2</v>
      </c>
      <c r="M184" s="8">
        <v>0.8</v>
      </c>
    </row>
    <row r="185" spans="1:13" x14ac:dyDescent="0.25">
      <c r="A185" s="99">
        <f t="shared" si="2"/>
        <v>184</v>
      </c>
      <c r="B185" s="8">
        <v>1</v>
      </c>
      <c r="C185" s="8">
        <v>0</v>
      </c>
      <c r="D185" s="8">
        <v>0</v>
      </c>
      <c r="E185" s="8">
        <v>0</v>
      </c>
      <c r="F185" s="8">
        <v>0</v>
      </c>
      <c r="G185" s="8">
        <v>1</v>
      </c>
      <c r="H185" s="8">
        <v>1</v>
      </c>
      <c r="I185" s="8">
        <v>0</v>
      </c>
      <c r="J185" s="6">
        <v>22</v>
      </c>
      <c r="K185" s="8">
        <v>1</v>
      </c>
      <c r="L185" s="8">
        <v>1.2</v>
      </c>
      <c r="M185" s="8">
        <v>0.8</v>
      </c>
    </row>
    <row r="186" spans="1:13" x14ac:dyDescent="0.25">
      <c r="A186" s="99">
        <f t="shared" si="2"/>
        <v>185</v>
      </c>
      <c r="B186" s="8">
        <v>1</v>
      </c>
      <c r="C186" s="8">
        <v>249.64698184978786</v>
      </c>
      <c r="D186" s="8">
        <v>13.280980885901911</v>
      </c>
      <c r="E186" s="8">
        <v>0</v>
      </c>
      <c r="F186" s="8">
        <v>0</v>
      </c>
      <c r="G186" s="8">
        <v>1</v>
      </c>
      <c r="H186" s="8">
        <v>1</v>
      </c>
      <c r="I186" s="8">
        <v>0</v>
      </c>
      <c r="J186" s="6">
        <v>22</v>
      </c>
      <c r="K186" s="8">
        <v>1</v>
      </c>
      <c r="L186" s="8">
        <v>1.2</v>
      </c>
      <c r="M186" s="8">
        <v>0.8</v>
      </c>
    </row>
    <row r="187" spans="1:13" x14ac:dyDescent="0.25">
      <c r="A187" s="99">
        <f t="shared" si="2"/>
        <v>186</v>
      </c>
      <c r="B187" s="8">
        <v>1</v>
      </c>
      <c r="C187" s="8">
        <v>0</v>
      </c>
      <c r="D187" s="8">
        <v>0</v>
      </c>
      <c r="E187" s="8">
        <v>0</v>
      </c>
      <c r="F187" s="8">
        <v>0</v>
      </c>
      <c r="G187" s="8">
        <v>1</v>
      </c>
      <c r="H187" s="8">
        <v>1</v>
      </c>
      <c r="I187" s="8">
        <v>0</v>
      </c>
      <c r="J187" s="6">
        <v>22</v>
      </c>
      <c r="K187" s="8">
        <v>1</v>
      </c>
      <c r="L187" s="8">
        <v>1.2</v>
      </c>
      <c r="M187" s="8">
        <v>0.8</v>
      </c>
    </row>
    <row r="188" spans="1:13" x14ac:dyDescent="0.25">
      <c r="A188" s="99">
        <f t="shared" si="2"/>
        <v>187</v>
      </c>
      <c r="B188" s="8">
        <v>1</v>
      </c>
      <c r="C188" s="8">
        <v>0</v>
      </c>
      <c r="D188" s="8">
        <v>0</v>
      </c>
      <c r="E188" s="8">
        <v>0</v>
      </c>
      <c r="F188" s="8">
        <v>0</v>
      </c>
      <c r="G188" s="8">
        <v>1</v>
      </c>
      <c r="H188" s="8">
        <v>1</v>
      </c>
      <c r="I188" s="8">
        <v>0</v>
      </c>
      <c r="J188" s="6">
        <v>22</v>
      </c>
      <c r="K188" s="8">
        <v>1</v>
      </c>
      <c r="L188" s="8">
        <v>1.2</v>
      </c>
      <c r="M188" s="8">
        <v>0.8</v>
      </c>
    </row>
    <row r="189" spans="1:13" x14ac:dyDescent="0.25">
      <c r="A189" s="99">
        <f t="shared" si="2"/>
        <v>188</v>
      </c>
      <c r="B189" s="8">
        <v>1</v>
      </c>
      <c r="C189" s="8">
        <v>13.05</v>
      </c>
      <c r="D189" s="8">
        <v>7.3957758213726335</v>
      </c>
      <c r="E189" s="8">
        <v>0</v>
      </c>
      <c r="F189" s="8">
        <v>0</v>
      </c>
      <c r="G189" s="8">
        <v>1</v>
      </c>
      <c r="H189" s="8">
        <v>1</v>
      </c>
      <c r="I189" s="8">
        <v>0</v>
      </c>
      <c r="J189" s="6">
        <v>22</v>
      </c>
      <c r="K189" s="8">
        <v>1</v>
      </c>
      <c r="L189" s="8">
        <v>1.2</v>
      </c>
      <c r="M189" s="8">
        <v>0.8</v>
      </c>
    </row>
    <row r="190" spans="1:13" x14ac:dyDescent="0.25">
      <c r="A190" s="99">
        <f t="shared" si="2"/>
        <v>189</v>
      </c>
      <c r="B190" s="8">
        <v>1</v>
      </c>
      <c r="C190" s="8">
        <v>9.9487474693046529</v>
      </c>
      <c r="D190" s="8">
        <v>4.6928055352852907</v>
      </c>
      <c r="E190" s="8">
        <v>0</v>
      </c>
      <c r="F190" s="8">
        <v>0</v>
      </c>
      <c r="G190" s="8">
        <v>1</v>
      </c>
      <c r="H190" s="8">
        <v>1</v>
      </c>
      <c r="I190" s="8">
        <v>0</v>
      </c>
      <c r="J190" s="6">
        <v>22</v>
      </c>
      <c r="K190" s="8">
        <v>1</v>
      </c>
      <c r="L190" s="8">
        <v>1.2</v>
      </c>
      <c r="M190" s="8">
        <v>0.8</v>
      </c>
    </row>
    <row r="191" spans="1:13" x14ac:dyDescent="0.25">
      <c r="A191" s="99">
        <f t="shared" si="2"/>
        <v>190</v>
      </c>
      <c r="B191" s="8">
        <v>1</v>
      </c>
      <c r="C191" s="8">
        <v>107.67236277900173</v>
      </c>
      <c r="D191" s="8">
        <v>52.977941575593931</v>
      </c>
      <c r="E191" s="8">
        <v>0</v>
      </c>
      <c r="F191" s="8">
        <v>0</v>
      </c>
      <c r="G191" s="8">
        <v>1</v>
      </c>
      <c r="H191" s="8">
        <v>1</v>
      </c>
      <c r="I191" s="8">
        <v>0</v>
      </c>
      <c r="J191" s="104">
        <v>66</v>
      </c>
      <c r="K191" s="8">
        <v>1</v>
      </c>
      <c r="L191" s="8">
        <v>1.2</v>
      </c>
      <c r="M191" s="8">
        <v>0.8</v>
      </c>
    </row>
    <row r="192" spans="1:13" x14ac:dyDescent="0.25">
      <c r="A192" s="99">
        <f t="shared" si="2"/>
        <v>191</v>
      </c>
      <c r="B192" s="8">
        <v>1</v>
      </c>
      <c r="C192" s="8">
        <v>4.476179425915304</v>
      </c>
      <c r="D192" s="8">
        <v>2.2279626897712039</v>
      </c>
      <c r="E192" s="8">
        <v>0</v>
      </c>
      <c r="F192" s="8">
        <v>0</v>
      </c>
      <c r="G192" s="8">
        <v>1</v>
      </c>
      <c r="H192" s="8">
        <v>1</v>
      </c>
      <c r="I192" s="8">
        <v>0</v>
      </c>
      <c r="J192" s="6">
        <v>22</v>
      </c>
      <c r="K192" s="8">
        <v>1</v>
      </c>
      <c r="L192" s="8">
        <v>1.2</v>
      </c>
      <c r="M192" s="8">
        <v>0.8</v>
      </c>
    </row>
    <row r="193" spans="1:13" x14ac:dyDescent="0.25">
      <c r="A193" s="99">
        <f t="shared" si="2"/>
        <v>192</v>
      </c>
      <c r="B193" s="8">
        <v>1</v>
      </c>
      <c r="C193" s="8">
        <v>5.6999999999999993</v>
      </c>
      <c r="D193" s="8">
        <v>1.8734993995195171</v>
      </c>
      <c r="E193" s="8">
        <v>0</v>
      </c>
      <c r="F193" s="8">
        <v>0</v>
      </c>
      <c r="G193" s="8">
        <v>1</v>
      </c>
      <c r="H193" s="8">
        <v>1</v>
      </c>
      <c r="I193" s="8">
        <v>0</v>
      </c>
      <c r="J193" s="6">
        <v>22</v>
      </c>
      <c r="K193" s="8">
        <v>1</v>
      </c>
      <c r="L193" s="8">
        <v>1.2</v>
      </c>
      <c r="M193" s="8">
        <v>0.8</v>
      </c>
    </row>
    <row r="194" spans="1:13" x14ac:dyDescent="0.25">
      <c r="A194" s="99">
        <f t="shared" si="2"/>
        <v>193</v>
      </c>
      <c r="B194" s="8">
        <v>1</v>
      </c>
      <c r="C194" s="8">
        <v>5.6999999999999993</v>
      </c>
      <c r="D194" s="8">
        <v>1.8734993995195171</v>
      </c>
      <c r="E194" s="8">
        <v>0</v>
      </c>
      <c r="F194" s="8">
        <v>0</v>
      </c>
      <c r="G194" s="8">
        <v>1</v>
      </c>
      <c r="H194" s="8">
        <v>1</v>
      </c>
      <c r="I194" s="8">
        <v>0</v>
      </c>
      <c r="J194" s="6">
        <v>22</v>
      </c>
      <c r="K194" s="8">
        <v>1</v>
      </c>
      <c r="L194" s="8">
        <v>1.2</v>
      </c>
      <c r="M194" s="8">
        <v>0.8</v>
      </c>
    </row>
    <row r="195" spans="1:13" x14ac:dyDescent="0.25">
      <c r="A195" s="99">
        <f t="shared" si="2"/>
        <v>194</v>
      </c>
      <c r="B195" s="8">
        <v>1</v>
      </c>
      <c r="C195" s="8">
        <v>0</v>
      </c>
      <c r="D195" s="8">
        <v>0</v>
      </c>
      <c r="E195" s="8">
        <v>0</v>
      </c>
      <c r="F195" s="8">
        <v>0</v>
      </c>
      <c r="G195" s="8">
        <v>1</v>
      </c>
      <c r="H195" s="8">
        <v>1</v>
      </c>
      <c r="I195" s="8">
        <v>0</v>
      </c>
      <c r="J195" s="6">
        <v>22</v>
      </c>
      <c r="K195" s="8">
        <v>1</v>
      </c>
      <c r="L195" s="8">
        <v>1.2</v>
      </c>
      <c r="M195" s="8">
        <v>0.8</v>
      </c>
    </row>
    <row r="196" spans="1:13" x14ac:dyDescent="0.25">
      <c r="A196" s="99">
        <f t="shared" ref="A196:A209" si="3">A195+1</f>
        <v>195</v>
      </c>
      <c r="B196" s="8">
        <v>1</v>
      </c>
      <c r="C196" s="8">
        <v>16.271353668063231</v>
      </c>
      <c r="D196" s="8">
        <v>7.696950682497925</v>
      </c>
      <c r="E196" s="8">
        <v>0</v>
      </c>
      <c r="F196" s="8">
        <v>0</v>
      </c>
      <c r="G196" s="8">
        <v>1</v>
      </c>
      <c r="H196" s="8">
        <v>1</v>
      </c>
      <c r="I196" s="8">
        <v>0</v>
      </c>
      <c r="J196" s="6">
        <v>22</v>
      </c>
      <c r="K196" s="8">
        <v>1</v>
      </c>
      <c r="L196" s="8">
        <v>1.2</v>
      </c>
      <c r="M196" s="8">
        <v>0.8</v>
      </c>
    </row>
    <row r="197" spans="1:13" x14ac:dyDescent="0.25">
      <c r="A197" s="99">
        <f t="shared" si="3"/>
        <v>196</v>
      </c>
      <c r="B197" s="8">
        <v>1</v>
      </c>
      <c r="C197" s="8">
        <v>0</v>
      </c>
      <c r="D197" s="8">
        <v>0</v>
      </c>
      <c r="E197" s="8">
        <v>0</v>
      </c>
      <c r="F197" s="8">
        <v>0</v>
      </c>
      <c r="G197" s="8">
        <v>1</v>
      </c>
      <c r="H197" s="8">
        <v>1</v>
      </c>
      <c r="I197" s="8">
        <v>0</v>
      </c>
      <c r="J197" s="6">
        <v>22</v>
      </c>
      <c r="K197" s="8">
        <v>1</v>
      </c>
      <c r="L197" s="8">
        <v>1.2</v>
      </c>
      <c r="M197" s="8">
        <v>0.8</v>
      </c>
    </row>
    <row r="198" spans="1:13" x14ac:dyDescent="0.25">
      <c r="A198" s="99">
        <f t="shared" si="3"/>
        <v>197</v>
      </c>
      <c r="B198" s="8">
        <v>1</v>
      </c>
      <c r="C198" s="8">
        <v>0</v>
      </c>
      <c r="D198" s="8">
        <v>0</v>
      </c>
      <c r="E198" s="8">
        <v>0</v>
      </c>
      <c r="F198" s="8">
        <v>0</v>
      </c>
      <c r="G198" s="8">
        <v>1</v>
      </c>
      <c r="H198" s="8">
        <v>1</v>
      </c>
      <c r="I198" s="8">
        <v>0</v>
      </c>
      <c r="J198" s="6">
        <v>22</v>
      </c>
      <c r="K198" s="8">
        <v>1</v>
      </c>
      <c r="L198" s="8">
        <v>1.2</v>
      </c>
      <c r="M198" s="8">
        <v>0.8</v>
      </c>
    </row>
    <row r="199" spans="1:13" x14ac:dyDescent="0.25">
      <c r="A199" s="99">
        <f t="shared" si="3"/>
        <v>198</v>
      </c>
      <c r="B199" s="8">
        <v>1</v>
      </c>
      <c r="C199" s="8">
        <v>7.1621934432820122</v>
      </c>
      <c r="D199" s="8">
        <v>3.5641247285986148</v>
      </c>
      <c r="E199" s="8">
        <v>0</v>
      </c>
      <c r="F199" s="8">
        <v>0</v>
      </c>
      <c r="G199" s="8">
        <v>1</v>
      </c>
      <c r="H199" s="8">
        <v>1</v>
      </c>
      <c r="I199" s="8">
        <v>0</v>
      </c>
      <c r="J199" s="6">
        <v>22</v>
      </c>
      <c r="K199" s="8">
        <v>1</v>
      </c>
      <c r="L199" s="8">
        <v>1.2</v>
      </c>
      <c r="M199" s="8">
        <v>0.8</v>
      </c>
    </row>
    <row r="200" spans="1:13" x14ac:dyDescent="0.25">
      <c r="A200" s="99">
        <f t="shared" si="3"/>
        <v>199</v>
      </c>
      <c r="B200" s="8">
        <v>1</v>
      </c>
      <c r="C200" s="8">
        <v>0</v>
      </c>
      <c r="D200" s="8">
        <v>0</v>
      </c>
      <c r="E200" s="8">
        <v>0</v>
      </c>
      <c r="F200" s="8">
        <v>0</v>
      </c>
      <c r="G200" s="8">
        <v>1</v>
      </c>
      <c r="H200" s="8">
        <v>1</v>
      </c>
      <c r="I200" s="8">
        <v>0</v>
      </c>
      <c r="J200" s="6">
        <v>22</v>
      </c>
      <c r="K200" s="8">
        <v>1</v>
      </c>
      <c r="L200" s="8">
        <v>1.2</v>
      </c>
      <c r="M200" s="8">
        <v>0.8</v>
      </c>
    </row>
    <row r="201" spans="1:13" x14ac:dyDescent="0.25">
      <c r="A201" s="99">
        <f t="shared" si="3"/>
        <v>200</v>
      </c>
      <c r="B201" s="8">
        <v>1</v>
      </c>
      <c r="C201" s="8">
        <v>13.878778704295623</v>
      </c>
      <c r="D201" s="8">
        <v>5.690298909300842</v>
      </c>
      <c r="E201" s="8">
        <v>0</v>
      </c>
      <c r="F201" s="8">
        <v>0</v>
      </c>
      <c r="G201" s="8">
        <v>1</v>
      </c>
      <c r="H201" s="8">
        <v>1</v>
      </c>
      <c r="I201" s="8">
        <v>0</v>
      </c>
      <c r="J201" s="6">
        <v>22</v>
      </c>
      <c r="K201" s="8">
        <v>1</v>
      </c>
      <c r="L201" s="8">
        <v>1.2</v>
      </c>
      <c r="M201" s="8">
        <v>0.8</v>
      </c>
    </row>
    <row r="202" spans="1:13" x14ac:dyDescent="0.25">
      <c r="A202" s="99">
        <f t="shared" si="3"/>
        <v>201</v>
      </c>
      <c r="B202" s="8">
        <v>1</v>
      </c>
      <c r="C202" s="8">
        <v>2.6832815729997477</v>
      </c>
      <c r="D202" s="8">
        <v>1.3416407864998738</v>
      </c>
      <c r="E202" s="8">
        <v>0</v>
      </c>
      <c r="F202" s="8">
        <v>0</v>
      </c>
      <c r="G202" s="8">
        <v>1</v>
      </c>
      <c r="H202" s="8">
        <v>1</v>
      </c>
      <c r="I202" s="8">
        <v>0</v>
      </c>
      <c r="J202" s="6">
        <v>22</v>
      </c>
      <c r="K202" s="8">
        <v>1</v>
      </c>
      <c r="L202" s="8">
        <v>1.2</v>
      </c>
      <c r="M202" s="8">
        <v>0.8</v>
      </c>
    </row>
    <row r="203" spans="1:13" x14ac:dyDescent="0.25">
      <c r="A203" s="99">
        <f t="shared" si="3"/>
        <v>202</v>
      </c>
      <c r="B203" s="8">
        <v>1</v>
      </c>
      <c r="C203" s="8">
        <v>0</v>
      </c>
      <c r="D203" s="8">
        <v>0</v>
      </c>
      <c r="E203" s="8">
        <v>0</v>
      </c>
      <c r="F203" s="8">
        <v>0</v>
      </c>
      <c r="G203" s="8">
        <v>1</v>
      </c>
      <c r="H203" s="8">
        <v>1</v>
      </c>
      <c r="I203" s="8">
        <v>0</v>
      </c>
      <c r="J203" s="6">
        <v>22</v>
      </c>
      <c r="K203" s="8">
        <v>1</v>
      </c>
      <c r="L203" s="8">
        <v>1.2</v>
      </c>
      <c r="M203" s="8">
        <v>0.8</v>
      </c>
    </row>
    <row r="204" spans="1:13" x14ac:dyDescent="0.25">
      <c r="A204" s="99">
        <f t="shared" si="3"/>
        <v>203</v>
      </c>
      <c r="B204" s="8">
        <v>1</v>
      </c>
      <c r="C204" s="8">
        <v>13.44292183390832</v>
      </c>
      <c r="D204" s="8">
        <v>6.6549119128228114</v>
      </c>
      <c r="E204" s="8">
        <v>0</v>
      </c>
      <c r="F204" s="8">
        <v>0</v>
      </c>
      <c r="G204" s="8">
        <v>1</v>
      </c>
      <c r="H204" s="8">
        <v>1</v>
      </c>
      <c r="I204" s="8">
        <v>0</v>
      </c>
      <c r="J204" s="6">
        <v>22</v>
      </c>
      <c r="K204" s="8">
        <v>1</v>
      </c>
      <c r="L204" s="8">
        <v>1.2</v>
      </c>
      <c r="M204" s="8">
        <v>0.8</v>
      </c>
    </row>
    <row r="205" spans="1:13" x14ac:dyDescent="0.25">
      <c r="A205" s="99">
        <f t="shared" si="3"/>
        <v>204</v>
      </c>
      <c r="B205" s="8">
        <v>1</v>
      </c>
      <c r="C205" s="8">
        <v>5.3687935901356001</v>
      </c>
      <c r="D205" s="8">
        <v>2.6788160419332443</v>
      </c>
      <c r="E205" s="8">
        <v>0</v>
      </c>
      <c r="F205" s="8">
        <v>0</v>
      </c>
      <c r="G205" s="8">
        <v>1</v>
      </c>
      <c r="H205" s="8">
        <v>1</v>
      </c>
      <c r="I205" s="8">
        <v>0</v>
      </c>
      <c r="J205" s="6">
        <v>22</v>
      </c>
      <c r="K205" s="8">
        <v>1</v>
      </c>
      <c r="L205" s="8">
        <v>1.2</v>
      </c>
      <c r="M205" s="8">
        <v>0.8</v>
      </c>
    </row>
    <row r="206" spans="1:13" x14ac:dyDescent="0.25">
      <c r="A206" s="99">
        <f t="shared" si="3"/>
        <v>205</v>
      </c>
      <c r="B206" s="8">
        <v>1</v>
      </c>
      <c r="C206" s="8">
        <v>10.750429465365668</v>
      </c>
      <c r="D206" s="8">
        <v>5.3318164175257978</v>
      </c>
      <c r="E206" s="8">
        <v>0</v>
      </c>
      <c r="F206" s="8">
        <v>0</v>
      </c>
      <c r="G206" s="8">
        <v>1</v>
      </c>
      <c r="H206" s="8">
        <v>1</v>
      </c>
      <c r="I206" s="8">
        <v>0</v>
      </c>
      <c r="J206" s="6">
        <v>22</v>
      </c>
      <c r="K206" s="8">
        <v>1</v>
      </c>
      <c r="L206" s="8">
        <v>1.2</v>
      </c>
      <c r="M206" s="8">
        <v>0.8</v>
      </c>
    </row>
    <row r="207" spans="1:13" x14ac:dyDescent="0.25">
      <c r="A207" s="99">
        <f t="shared" si="3"/>
        <v>206</v>
      </c>
      <c r="B207" s="8">
        <v>1</v>
      </c>
      <c r="C207" s="8">
        <v>44.980310116007558</v>
      </c>
      <c r="D207" s="8">
        <v>21.835102515623511</v>
      </c>
      <c r="E207" s="8">
        <v>0</v>
      </c>
      <c r="F207" s="8">
        <v>0</v>
      </c>
      <c r="G207" s="8">
        <v>1</v>
      </c>
      <c r="H207" s="8">
        <v>1</v>
      </c>
      <c r="I207" s="8">
        <v>0</v>
      </c>
      <c r="J207" s="104">
        <v>66</v>
      </c>
      <c r="K207" s="8">
        <v>1</v>
      </c>
      <c r="L207" s="8">
        <v>1.2</v>
      </c>
      <c r="M207" s="8">
        <v>0.8</v>
      </c>
    </row>
    <row r="208" spans="1:13" x14ac:dyDescent="0.25">
      <c r="A208" s="99">
        <f t="shared" si="3"/>
        <v>207</v>
      </c>
      <c r="B208" s="8">
        <v>1</v>
      </c>
      <c r="C208" s="8">
        <v>0</v>
      </c>
      <c r="D208" s="8">
        <v>0</v>
      </c>
      <c r="E208" s="8">
        <v>0</v>
      </c>
      <c r="F208" s="8">
        <v>0</v>
      </c>
      <c r="G208" s="8">
        <v>1</v>
      </c>
      <c r="H208" s="8">
        <v>1</v>
      </c>
      <c r="I208" s="8">
        <v>0</v>
      </c>
      <c r="J208" s="6">
        <v>22</v>
      </c>
      <c r="K208" s="8">
        <v>1</v>
      </c>
      <c r="L208" s="8">
        <v>1.2</v>
      </c>
      <c r="M208" s="8">
        <v>0.8</v>
      </c>
    </row>
    <row r="209" spans="1:13" x14ac:dyDescent="0.25">
      <c r="A209" s="99">
        <f t="shared" si="3"/>
        <v>208</v>
      </c>
      <c r="B209" s="8">
        <v>1</v>
      </c>
      <c r="C209" s="8">
        <v>0</v>
      </c>
      <c r="D209" s="8">
        <v>0</v>
      </c>
      <c r="E209" s="8">
        <v>0</v>
      </c>
      <c r="F209" s="8">
        <v>0</v>
      </c>
      <c r="G209" s="8">
        <v>1</v>
      </c>
      <c r="H209" s="8">
        <v>1</v>
      </c>
      <c r="I209" s="8">
        <v>0</v>
      </c>
      <c r="J209" s="6">
        <v>22</v>
      </c>
      <c r="K209" s="8">
        <v>1</v>
      </c>
      <c r="L209" s="8">
        <v>1.2</v>
      </c>
      <c r="M209" s="8">
        <v>0.8</v>
      </c>
    </row>
    <row r="210" spans="1:13" x14ac:dyDescent="0.25">
      <c r="C210">
        <v>2516.6929819338566</v>
      </c>
      <c r="D210">
        <v>1046.7118981529959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221"/>
  <sheetViews>
    <sheetView zoomScale="70" zoomScaleNormal="70" workbookViewId="0"/>
  </sheetViews>
  <sheetFormatPr defaultRowHeight="15" x14ac:dyDescent="0.25"/>
  <cols>
    <col min="1" max="1" width="9.7109375" customWidth="1"/>
    <col min="2" max="2" width="10" customWidth="1"/>
    <col min="3" max="3" width="14.85546875" style="40" bestFit="1" customWidth="1"/>
    <col min="4" max="4" width="14" style="40" customWidth="1"/>
    <col min="5" max="5" width="15.140625" style="40" customWidth="1"/>
    <col min="14" max="14" width="17.140625" customWidth="1"/>
    <col min="15" max="15" width="44.7109375" customWidth="1"/>
    <col min="16" max="16" width="46.7109375" customWidth="1"/>
    <col min="17" max="17" width="23" style="13" customWidth="1"/>
    <col min="18" max="18" width="17.85546875" style="44" customWidth="1"/>
    <col min="19" max="19" width="22.7109375" style="45" customWidth="1"/>
    <col min="20" max="20" width="12.28515625" style="45" customWidth="1"/>
    <col min="21" max="21" width="16.42578125" style="52" customWidth="1"/>
    <col min="22" max="22" width="13" customWidth="1"/>
    <col min="23" max="23" width="44.5703125" customWidth="1"/>
    <col min="24" max="24" width="23.140625" customWidth="1"/>
    <col min="25" max="25" width="35" customWidth="1"/>
    <col min="26" max="26" width="32.28515625" customWidth="1"/>
    <col min="27" max="27" width="49.5703125" customWidth="1"/>
    <col min="28" max="28" width="27.85546875" customWidth="1"/>
    <col min="29" max="29" width="20" customWidth="1"/>
    <col min="30" max="30" width="26.42578125" customWidth="1"/>
    <col min="31" max="31" width="16.28515625" customWidth="1"/>
  </cols>
  <sheetData>
    <row r="1" spans="1:30" s="10" customFormat="1" ht="44.25" customHeight="1" x14ac:dyDescent="0.25">
      <c r="A1" s="11" t="s">
        <v>33</v>
      </c>
      <c r="B1" s="11" t="s">
        <v>34</v>
      </c>
      <c r="C1" s="37" t="s">
        <v>35</v>
      </c>
      <c r="D1" s="37" t="s">
        <v>36</v>
      </c>
      <c r="E1" s="37" t="s">
        <v>37</v>
      </c>
      <c r="F1" s="11" t="s">
        <v>38</v>
      </c>
      <c r="G1" s="11" t="s">
        <v>39</v>
      </c>
      <c r="H1" s="11" t="s">
        <v>40</v>
      </c>
      <c r="I1" s="11" t="s">
        <v>41</v>
      </c>
      <c r="J1" s="11" t="s">
        <v>42</v>
      </c>
      <c r="K1" s="11" t="s">
        <v>7</v>
      </c>
      <c r="L1" s="11" t="s">
        <v>43</v>
      </c>
      <c r="M1" s="11" t="s">
        <v>44</v>
      </c>
      <c r="N1" s="11" t="s">
        <v>243</v>
      </c>
      <c r="O1" s="11" t="s">
        <v>289</v>
      </c>
      <c r="P1" s="11" t="s">
        <v>290</v>
      </c>
      <c r="Q1" s="11" t="s">
        <v>246</v>
      </c>
      <c r="R1" s="11" t="s">
        <v>968</v>
      </c>
      <c r="S1" s="46" t="s">
        <v>974</v>
      </c>
      <c r="T1" s="46"/>
      <c r="U1" s="35" t="s">
        <v>293</v>
      </c>
      <c r="V1" s="11" t="s">
        <v>243</v>
      </c>
      <c r="W1" s="114" t="s">
        <v>967</v>
      </c>
      <c r="X1" s="11" t="s">
        <v>268</v>
      </c>
      <c r="Y1" s="11" t="s">
        <v>265</v>
      </c>
      <c r="Z1" s="11" t="s">
        <v>266</v>
      </c>
      <c r="AA1" s="11" t="s">
        <v>267</v>
      </c>
    </row>
    <row r="2" spans="1:30" x14ac:dyDescent="0.25">
      <c r="A2" s="65">
        <v>45</v>
      </c>
      <c r="B2" s="65">
        <v>6</v>
      </c>
      <c r="C2" s="66">
        <f>$Y$8*N2/$AA$2/U2</f>
        <v>2.268431001890359E-5</v>
      </c>
      <c r="D2" s="66">
        <f>$Z$8*N2/$AA$2/U2</f>
        <v>3.8780088216761179E-4</v>
      </c>
      <c r="E2" s="66">
        <f>$AA$8*N2/$AA$2*U2</f>
        <v>1.7094896030245745E-6</v>
      </c>
      <c r="F2" s="67">
        <f>$Z$54*U2</f>
        <v>1685.1122306837608</v>
      </c>
      <c r="G2" s="68">
        <v>0</v>
      </c>
      <c r="H2" s="68">
        <v>0</v>
      </c>
      <c r="I2" s="68">
        <v>1</v>
      </c>
      <c r="J2" s="68">
        <v>0</v>
      </c>
      <c r="K2" s="68">
        <v>1</v>
      </c>
      <c r="L2" s="68">
        <v>-360</v>
      </c>
      <c r="M2" s="68">
        <v>360</v>
      </c>
      <c r="N2" s="69">
        <f t="shared" ref="N2:N33" si="0">V2*$W$2</f>
        <v>4</v>
      </c>
      <c r="O2" s="5" t="s">
        <v>240</v>
      </c>
      <c r="P2" s="5" t="s">
        <v>48</v>
      </c>
      <c r="Q2" s="14" t="s">
        <v>244</v>
      </c>
      <c r="R2" s="50">
        <v>230</v>
      </c>
      <c r="S2" s="103">
        <v>2717.0545999999999</v>
      </c>
      <c r="T2" s="103">
        <f>IF(F2&lt;S2,1,0)</f>
        <v>1</v>
      </c>
      <c r="U2" s="138">
        <v>3</v>
      </c>
      <c r="V2" s="112">
        <v>1</v>
      </c>
      <c r="W2" s="115">
        <v>4</v>
      </c>
      <c r="X2" s="30">
        <v>100</v>
      </c>
      <c r="Y2" s="8">
        <f>22*22/X2</f>
        <v>4.84</v>
      </c>
      <c r="Z2" s="8">
        <f>66*66/X2</f>
        <v>43.56</v>
      </c>
      <c r="AA2" s="8">
        <f>230*230/X2</f>
        <v>529</v>
      </c>
    </row>
    <row r="3" spans="1:30" x14ac:dyDescent="0.25">
      <c r="A3" s="6">
        <v>6</v>
      </c>
      <c r="B3" s="6">
        <v>9</v>
      </c>
      <c r="C3" s="39">
        <f>$AB$62/100*$X$2/F3</f>
        <v>1.2221797861605954E-4</v>
      </c>
      <c r="D3" s="39">
        <f>$AA$62/100*$X$2/F3</f>
        <v>1.4666157433929792E-2</v>
      </c>
      <c r="E3" s="39">
        <v>0</v>
      </c>
      <c r="F3" s="32">
        <f>$AC$62*U3</f>
        <v>750</v>
      </c>
      <c r="G3" s="30">
        <v>0</v>
      </c>
      <c r="H3" s="30">
        <v>0</v>
      </c>
      <c r="I3" s="30">
        <v>1</v>
      </c>
      <c r="J3" s="30">
        <v>0</v>
      </c>
      <c r="K3" s="30">
        <v>1</v>
      </c>
      <c r="L3" s="30">
        <v>-360</v>
      </c>
      <c r="M3" s="30">
        <v>360</v>
      </c>
      <c r="N3" s="112">
        <f t="shared" si="0"/>
        <v>3.9993303999999998</v>
      </c>
      <c r="O3" s="33" t="s">
        <v>48</v>
      </c>
      <c r="P3" s="33" t="s">
        <v>51</v>
      </c>
      <c r="Q3" s="34" t="s">
        <v>245</v>
      </c>
      <c r="R3" s="63">
        <v>230</v>
      </c>
      <c r="S3" s="103">
        <v>344.30849000000001</v>
      </c>
      <c r="T3" s="103">
        <f t="shared" ref="T3:T57" si="1">IF(F3&lt;S3,1,0)</f>
        <v>0</v>
      </c>
      <c r="U3" s="92">
        <v>1</v>
      </c>
      <c r="V3" s="113">
        <v>0.99983259999999996</v>
      </c>
      <c r="X3" s="43"/>
      <c r="Y3" s="29"/>
      <c r="Z3" s="29"/>
      <c r="AA3" s="29"/>
    </row>
    <row r="4" spans="1:30" x14ac:dyDescent="0.25">
      <c r="A4" s="143">
        <v>6</v>
      </c>
      <c r="B4" s="143">
        <v>3</v>
      </c>
      <c r="C4" s="144">
        <f>$Y$8*N4/$AA$2/U4</f>
        <v>5.1039697542533077E-5</v>
      </c>
      <c r="D4" s="144">
        <f>$Z$8*N4/$AA$2/U4</f>
        <v>8.7255198487712663E-4</v>
      </c>
      <c r="E4" s="144">
        <f>$AA$8*N4/$AA$2*U4</f>
        <v>1.7094896030245745E-6</v>
      </c>
      <c r="F4" s="145">
        <f>$Z$54*U4</f>
        <v>1123.4081537891739</v>
      </c>
      <c r="G4" s="146">
        <v>0</v>
      </c>
      <c r="H4" s="146">
        <v>0</v>
      </c>
      <c r="I4" s="146">
        <v>1</v>
      </c>
      <c r="J4" s="146">
        <v>0</v>
      </c>
      <c r="K4" s="146">
        <v>1</v>
      </c>
      <c r="L4" s="146">
        <v>-360</v>
      </c>
      <c r="M4" s="146">
        <v>360</v>
      </c>
      <c r="N4" s="147">
        <f t="shared" si="0"/>
        <v>6</v>
      </c>
      <c r="O4" s="5" t="s">
        <v>48</v>
      </c>
      <c r="P4" s="5" t="s">
        <v>921</v>
      </c>
      <c r="Q4" s="14" t="s">
        <v>244</v>
      </c>
      <c r="R4" s="50">
        <v>230</v>
      </c>
      <c r="S4" s="103">
        <v>402.76857000000001</v>
      </c>
      <c r="T4" s="103">
        <f t="shared" si="1"/>
        <v>0</v>
      </c>
      <c r="U4" s="148">
        <v>2</v>
      </c>
      <c r="V4" s="112">
        <v>1.5</v>
      </c>
    </row>
    <row r="5" spans="1:30" x14ac:dyDescent="0.25">
      <c r="A5" s="143">
        <v>6</v>
      </c>
      <c r="B5" s="143">
        <v>5</v>
      </c>
      <c r="C5" s="144">
        <f>$Y$8*N5/$AA$2/U5</f>
        <v>4.6996182986767491E-5</v>
      </c>
      <c r="D5" s="144">
        <f>$Z$8*N5/$AA$2/U5</f>
        <v>8.0342585714933835E-4</v>
      </c>
      <c r="E5" s="144">
        <f>$AA$8*N5/$AA$2*U5</f>
        <v>6.2962352886805292E-6</v>
      </c>
      <c r="F5" s="145">
        <f>$Z$54*U5</f>
        <v>2246.8163075783477</v>
      </c>
      <c r="G5" s="146">
        <v>0</v>
      </c>
      <c r="H5" s="146">
        <v>0</v>
      </c>
      <c r="I5" s="146">
        <v>1</v>
      </c>
      <c r="J5" s="146">
        <v>0</v>
      </c>
      <c r="K5" s="146">
        <v>1</v>
      </c>
      <c r="L5" s="146">
        <v>-360</v>
      </c>
      <c r="M5" s="146">
        <v>360</v>
      </c>
      <c r="N5" s="147">
        <f t="shared" si="0"/>
        <v>11.049324800000001</v>
      </c>
      <c r="O5" s="5" t="s">
        <v>48</v>
      </c>
      <c r="P5" s="5" t="s">
        <v>46</v>
      </c>
      <c r="Q5" s="14" t="s">
        <v>244</v>
      </c>
      <c r="R5" s="50">
        <v>230</v>
      </c>
      <c r="S5" s="103">
        <v>402.49779000000001</v>
      </c>
      <c r="T5" s="103">
        <f t="shared" si="1"/>
        <v>0</v>
      </c>
      <c r="U5" s="148">
        <v>4</v>
      </c>
      <c r="V5" s="112">
        <v>2.7623312000000002</v>
      </c>
      <c r="X5" s="31" t="s">
        <v>244</v>
      </c>
      <c r="Y5" s="25" t="s">
        <v>278</v>
      </c>
      <c r="Z5" s="25" t="s">
        <v>279</v>
      </c>
      <c r="AA5" s="25" t="s">
        <v>280</v>
      </c>
    </row>
    <row r="6" spans="1:30" x14ac:dyDescent="0.25">
      <c r="A6" s="65">
        <v>6</v>
      </c>
      <c r="B6" s="65">
        <v>94</v>
      </c>
      <c r="C6" s="66">
        <f>$Y$8*N6/$AA$2/U6</f>
        <v>5.2730184499054813E-5</v>
      </c>
      <c r="D6" s="66">
        <f>$Z$8*N6/$AA$2/U6</f>
        <v>9.0145179855828596E-4</v>
      </c>
      <c r="E6" s="66">
        <f>$AA$8*N6/$AA$2*U6</f>
        <v>3.9737467038487713E-6</v>
      </c>
      <c r="F6" s="67">
        <f>$Z$54*U6</f>
        <v>1685.1122306837608</v>
      </c>
      <c r="G6" s="68">
        <v>0</v>
      </c>
      <c r="H6" s="68">
        <v>0</v>
      </c>
      <c r="I6" s="68">
        <v>1</v>
      </c>
      <c r="J6" s="68">
        <v>0</v>
      </c>
      <c r="K6" s="68">
        <v>1</v>
      </c>
      <c r="L6" s="68">
        <v>-360</v>
      </c>
      <c r="M6" s="68">
        <v>360</v>
      </c>
      <c r="N6" s="69">
        <f t="shared" si="0"/>
        <v>9.2980891999999997</v>
      </c>
      <c r="O6" s="5" t="s">
        <v>48</v>
      </c>
      <c r="P6" s="5" t="s">
        <v>196</v>
      </c>
      <c r="Q6" s="14" t="s">
        <v>244</v>
      </c>
      <c r="R6" s="50">
        <v>230</v>
      </c>
      <c r="S6" s="103">
        <v>807.02714000000003</v>
      </c>
      <c r="T6" s="103">
        <f t="shared" si="1"/>
        <v>0</v>
      </c>
      <c r="U6" s="138">
        <v>3</v>
      </c>
      <c r="V6" s="112">
        <v>2.3245222999999999</v>
      </c>
      <c r="X6" s="25">
        <v>22</v>
      </c>
      <c r="Y6" s="32">
        <v>8.8999999999999996E-2</v>
      </c>
      <c r="Z6" s="32">
        <v>9.4399999999999998E-2</v>
      </c>
      <c r="AA6" s="87">
        <f>AD20</f>
        <v>1.06446E-4</v>
      </c>
      <c r="AB6" s="42" t="s">
        <v>291</v>
      </c>
    </row>
    <row r="7" spans="1:30" x14ac:dyDescent="0.25">
      <c r="A7" s="6">
        <v>7</v>
      </c>
      <c r="B7" s="6">
        <v>10</v>
      </c>
      <c r="C7" s="39">
        <f>$AB$62/100*$X$2/F7</f>
        <v>6.1108989308029769E-5</v>
      </c>
      <c r="D7" s="39">
        <f>$AA$62/100*$X$2/F7</f>
        <v>7.3330787169648961E-3</v>
      </c>
      <c r="E7" s="39">
        <v>0</v>
      </c>
      <c r="F7" s="32">
        <f>$AC$62*U7</f>
        <v>1500</v>
      </c>
      <c r="G7" s="30">
        <v>0</v>
      </c>
      <c r="H7" s="30">
        <v>0</v>
      </c>
      <c r="I7" s="30">
        <v>1</v>
      </c>
      <c r="J7" s="30">
        <v>0</v>
      </c>
      <c r="K7" s="30">
        <v>1</v>
      </c>
      <c r="L7" s="30">
        <v>-360</v>
      </c>
      <c r="M7" s="30">
        <v>360</v>
      </c>
      <c r="N7" s="112">
        <f t="shared" si="0"/>
        <v>3.9993303999999998</v>
      </c>
      <c r="O7" s="33" t="s">
        <v>49</v>
      </c>
      <c r="P7" s="33" t="s">
        <v>52</v>
      </c>
      <c r="Q7" s="34" t="s">
        <v>245</v>
      </c>
      <c r="R7" s="63">
        <v>230</v>
      </c>
      <c r="S7" s="103">
        <v>332.37918999999999</v>
      </c>
      <c r="T7" s="103">
        <f t="shared" si="1"/>
        <v>0</v>
      </c>
      <c r="U7" s="92">
        <v>2</v>
      </c>
      <c r="V7" s="113">
        <v>0.99983259999999996</v>
      </c>
      <c r="X7" s="25">
        <v>66</v>
      </c>
      <c r="Y7" s="32">
        <v>8.9999999999999993E-3</v>
      </c>
      <c r="Z7" s="32">
        <v>0.14757999999999999</v>
      </c>
      <c r="AA7" s="87">
        <f>AE40</f>
        <v>1.5385999999999997E-4</v>
      </c>
      <c r="AB7" s="42" t="s">
        <v>292</v>
      </c>
    </row>
    <row r="8" spans="1:30" x14ac:dyDescent="0.25">
      <c r="A8" s="6">
        <v>7</v>
      </c>
      <c r="B8" s="6">
        <v>8</v>
      </c>
      <c r="C8" s="38">
        <f>$Y$8*N8/$AA$2/U8</f>
        <v>5.7062622306238174E-5</v>
      </c>
      <c r="D8" s="38">
        <f>$Z$8*N8/$AA$2/U8</f>
        <v>9.7551722978197856E-4</v>
      </c>
      <c r="E8" s="38">
        <f>$AA$8*N8/$AA$2*U8</f>
        <v>4.3002392169981096E-6</v>
      </c>
      <c r="F8" s="32">
        <f>$Z$54*U8</f>
        <v>1685.1122306837608</v>
      </c>
      <c r="G8" s="8">
        <v>0</v>
      </c>
      <c r="H8" s="8">
        <v>0</v>
      </c>
      <c r="I8" s="8">
        <v>1</v>
      </c>
      <c r="J8" s="8">
        <v>0</v>
      </c>
      <c r="K8" s="8">
        <v>1</v>
      </c>
      <c r="L8" s="8">
        <v>-360</v>
      </c>
      <c r="M8" s="8">
        <v>360</v>
      </c>
      <c r="N8" s="112">
        <f t="shared" si="0"/>
        <v>10.062042399999999</v>
      </c>
      <c r="O8" s="5" t="s">
        <v>49</v>
      </c>
      <c r="P8" s="5" t="s">
        <v>50</v>
      </c>
      <c r="Q8" s="14" t="s">
        <v>244</v>
      </c>
      <c r="R8" s="50">
        <v>230</v>
      </c>
      <c r="S8" s="103">
        <v>432.39037999999999</v>
      </c>
      <c r="T8" s="103">
        <f t="shared" si="1"/>
        <v>0</v>
      </c>
      <c r="U8" s="138">
        <v>3</v>
      </c>
      <c r="V8" s="112">
        <v>2.5155105999999998</v>
      </c>
      <c r="X8" s="25">
        <v>230</v>
      </c>
      <c r="Y8" s="32">
        <v>8.9999999999999993E-3</v>
      </c>
      <c r="Z8" s="32">
        <v>0.15386</v>
      </c>
      <c r="AA8" s="87">
        <f>AE54</f>
        <v>7.5359999999999997E-5</v>
      </c>
      <c r="AB8" s="42" t="s">
        <v>292</v>
      </c>
    </row>
    <row r="9" spans="1:30" x14ac:dyDescent="0.25">
      <c r="A9" s="143">
        <v>7</v>
      </c>
      <c r="B9" s="143">
        <v>4</v>
      </c>
      <c r="C9" s="144">
        <f>$Y$8*N9/$AA$2/U9</f>
        <v>4.3612720604914933E-5</v>
      </c>
      <c r="D9" s="144">
        <f>$Z$8*N9/$AA$2/U9</f>
        <v>7.4558368803024581E-4</v>
      </c>
      <c r="E9" s="144">
        <f>$AA$8*N9/$AA$2*U9</f>
        <v>3.2866546247863896E-6</v>
      </c>
      <c r="F9" s="145">
        <f>$Z$54*U9</f>
        <v>1685.1122306837608</v>
      </c>
      <c r="G9" s="146">
        <v>0</v>
      </c>
      <c r="H9" s="146">
        <v>0</v>
      </c>
      <c r="I9" s="146">
        <v>1</v>
      </c>
      <c r="J9" s="146">
        <v>0</v>
      </c>
      <c r="K9" s="146">
        <v>1</v>
      </c>
      <c r="L9" s="146">
        <v>-360</v>
      </c>
      <c r="M9" s="146">
        <v>360</v>
      </c>
      <c r="N9" s="147">
        <f t="shared" si="0"/>
        <v>7.6903764000000008</v>
      </c>
      <c r="O9" s="5" t="s">
        <v>49</v>
      </c>
      <c r="P9" s="5" t="s">
        <v>923</v>
      </c>
      <c r="Q9" s="14" t="s">
        <v>244</v>
      </c>
      <c r="R9" s="50">
        <v>230</v>
      </c>
      <c r="S9" s="103">
        <v>411.38834000000003</v>
      </c>
      <c r="T9" s="103">
        <f t="shared" si="1"/>
        <v>0</v>
      </c>
      <c r="U9" s="148">
        <v>3</v>
      </c>
      <c r="V9" s="112">
        <v>1.9225941000000002</v>
      </c>
    </row>
    <row r="10" spans="1:30" x14ac:dyDescent="0.25">
      <c r="A10" s="6">
        <v>8</v>
      </c>
      <c r="B10" s="6">
        <v>11</v>
      </c>
      <c r="C10" s="39">
        <f>$AB$62/100*$X$2/F10</f>
        <v>6.1108989308029769E-5</v>
      </c>
      <c r="D10" s="39">
        <f>$AA$62/100*$X$2/F10</f>
        <v>7.3330787169648961E-3</v>
      </c>
      <c r="E10" s="39">
        <v>0</v>
      </c>
      <c r="F10" s="32">
        <f>$AC$62*U10</f>
        <v>1500</v>
      </c>
      <c r="G10" s="30">
        <v>0</v>
      </c>
      <c r="H10" s="30">
        <v>0</v>
      </c>
      <c r="I10" s="30">
        <v>1</v>
      </c>
      <c r="J10" s="30">
        <v>0</v>
      </c>
      <c r="K10" s="30">
        <v>1</v>
      </c>
      <c r="L10" s="30">
        <v>-360</v>
      </c>
      <c r="M10" s="30">
        <v>360</v>
      </c>
      <c r="N10" s="112">
        <f t="shared" si="0"/>
        <v>3.9993303999999998</v>
      </c>
      <c r="O10" s="33" t="s">
        <v>50</v>
      </c>
      <c r="P10" s="33" t="s">
        <v>58</v>
      </c>
      <c r="Q10" s="34" t="s">
        <v>245</v>
      </c>
      <c r="R10" s="63">
        <v>230</v>
      </c>
      <c r="S10" s="103">
        <v>717.91175999999996</v>
      </c>
      <c r="T10" s="103">
        <f t="shared" si="1"/>
        <v>0</v>
      </c>
      <c r="U10" s="92">
        <v>2</v>
      </c>
      <c r="V10" s="113">
        <v>0.99983259999999996</v>
      </c>
    </row>
    <row r="11" spans="1:30" x14ac:dyDescent="0.25">
      <c r="A11" s="143">
        <v>8</v>
      </c>
      <c r="B11" s="143">
        <v>2</v>
      </c>
      <c r="C11" s="144">
        <f>$Y$8*N11/$AA$2/U11</f>
        <v>3.5074679206049147E-5</v>
      </c>
      <c r="D11" s="144">
        <f>$Z$8*N11/$AA$2/U11</f>
        <v>5.9962112696030246E-4</v>
      </c>
      <c r="E11" s="144">
        <f>$AA$8*N11/$AA$2*U11</f>
        <v>4.6990716888317587E-6</v>
      </c>
      <c r="F11" s="145">
        <f>$Z$54*U11</f>
        <v>2246.8163075783477</v>
      </c>
      <c r="G11" s="146">
        <v>0</v>
      </c>
      <c r="H11" s="146">
        <v>0</v>
      </c>
      <c r="I11" s="146">
        <v>1</v>
      </c>
      <c r="J11" s="146">
        <v>0</v>
      </c>
      <c r="K11" s="146">
        <v>1</v>
      </c>
      <c r="L11" s="146">
        <v>-360</v>
      </c>
      <c r="M11" s="146">
        <v>360</v>
      </c>
      <c r="N11" s="147">
        <f t="shared" si="0"/>
        <v>8.2464468000000011</v>
      </c>
      <c r="O11" s="5" t="s">
        <v>50</v>
      </c>
      <c r="P11" s="5" t="s">
        <v>917</v>
      </c>
      <c r="Q11" s="14" t="s">
        <v>244</v>
      </c>
      <c r="R11" s="50">
        <v>230</v>
      </c>
      <c r="S11" s="103">
        <v>406.23970000000003</v>
      </c>
      <c r="T11" s="103">
        <f t="shared" si="1"/>
        <v>0</v>
      </c>
      <c r="U11" s="148">
        <v>4</v>
      </c>
      <c r="V11" s="112">
        <v>2.0616117000000003</v>
      </c>
      <c r="X11" s="15" t="s">
        <v>247</v>
      </c>
      <c r="Y11" s="16"/>
      <c r="Z11" s="17"/>
      <c r="AA11" s="18"/>
    </row>
    <row r="12" spans="1:30" x14ac:dyDescent="0.25">
      <c r="A12" s="65">
        <v>1</v>
      </c>
      <c r="B12" s="65">
        <v>44</v>
      </c>
      <c r="C12" s="66">
        <f>$Y$8*N12/$AA$2/U12</f>
        <v>3.4026465028355385E-5</v>
      </c>
      <c r="D12" s="66">
        <f>$Z$8*N12/$AA$2/U12</f>
        <v>5.8170132325141772E-4</v>
      </c>
      <c r="E12" s="66">
        <f>$AA$8*N12/$AA$2*U12</f>
        <v>2.564234404536862E-6</v>
      </c>
      <c r="F12" s="67">
        <f>$Z$54*U12</f>
        <v>1685.1122306837608</v>
      </c>
      <c r="G12" s="68">
        <v>0</v>
      </c>
      <c r="H12" s="68">
        <v>0</v>
      </c>
      <c r="I12" s="68">
        <v>1</v>
      </c>
      <c r="J12" s="68">
        <v>0</v>
      </c>
      <c r="K12" s="68">
        <v>1</v>
      </c>
      <c r="L12" s="68">
        <v>-360</v>
      </c>
      <c r="M12" s="68">
        <v>360</v>
      </c>
      <c r="N12" s="69">
        <f t="shared" si="0"/>
        <v>6</v>
      </c>
      <c r="O12" s="5" t="s">
        <v>47</v>
      </c>
      <c r="P12" s="5" t="s">
        <v>235</v>
      </c>
      <c r="Q12" s="14" t="s">
        <v>244</v>
      </c>
      <c r="R12" s="50">
        <v>230</v>
      </c>
      <c r="S12" s="103">
        <v>2562.4485</v>
      </c>
      <c r="T12" s="103">
        <f t="shared" si="1"/>
        <v>1</v>
      </c>
      <c r="U12" s="138">
        <v>3</v>
      </c>
      <c r="V12" s="112">
        <v>1.5</v>
      </c>
      <c r="X12" s="19">
        <v>22</v>
      </c>
      <c r="Y12" s="20"/>
      <c r="Z12" s="21"/>
      <c r="AA12" s="22"/>
      <c r="AB12" s="2"/>
      <c r="AC12" s="2"/>
    </row>
    <row r="13" spans="1:30" ht="15.75" customHeight="1" x14ac:dyDescent="0.25">
      <c r="A13" s="65">
        <v>44</v>
      </c>
      <c r="B13" s="65">
        <v>45</v>
      </c>
      <c r="C13" s="66">
        <f>$Y$8*N13/$AA$2/U13</f>
        <v>7.9395085066162564E-6</v>
      </c>
      <c r="D13" s="66">
        <f>$Z$8*N13/$AA$2/U13</f>
        <v>1.3573030875866415E-4</v>
      </c>
      <c r="E13" s="66">
        <f>$AA$8*N13/$AA$2*U13</f>
        <v>5.9832136105860106E-7</v>
      </c>
      <c r="F13" s="67">
        <f>$Z$54*U13</f>
        <v>1685.1122306837608</v>
      </c>
      <c r="G13" s="68">
        <v>0</v>
      </c>
      <c r="H13" s="68">
        <v>0</v>
      </c>
      <c r="I13" s="68">
        <v>1</v>
      </c>
      <c r="J13" s="68">
        <v>0</v>
      </c>
      <c r="K13" s="68">
        <v>1</v>
      </c>
      <c r="L13" s="68">
        <v>-360</v>
      </c>
      <c r="M13" s="68">
        <v>360</v>
      </c>
      <c r="N13" s="69">
        <f t="shared" si="0"/>
        <v>1.4</v>
      </c>
      <c r="O13" s="5" t="s">
        <v>235</v>
      </c>
      <c r="P13" s="5" t="s">
        <v>240</v>
      </c>
      <c r="Q13" s="14" t="s">
        <v>244</v>
      </c>
      <c r="R13" s="50">
        <v>230</v>
      </c>
      <c r="S13" s="103">
        <v>2557.4648000000002</v>
      </c>
      <c r="T13" s="103">
        <f t="shared" si="1"/>
        <v>1</v>
      </c>
      <c r="U13" s="138">
        <v>3</v>
      </c>
      <c r="V13" s="112">
        <v>0.35</v>
      </c>
      <c r="X13" s="23" t="s">
        <v>248</v>
      </c>
      <c r="Y13" s="23" t="s">
        <v>249</v>
      </c>
      <c r="Z13" s="24" t="s">
        <v>250</v>
      </c>
      <c r="AA13" s="23" t="s">
        <v>251</v>
      </c>
      <c r="AB13" s="25" t="s">
        <v>252</v>
      </c>
      <c r="AC13" s="23" t="s">
        <v>253</v>
      </c>
      <c r="AD13" s="31" t="s">
        <v>911</v>
      </c>
    </row>
    <row r="14" spans="1:30" x14ac:dyDescent="0.25">
      <c r="A14" s="6">
        <v>9</v>
      </c>
      <c r="B14" s="6">
        <v>13</v>
      </c>
      <c r="C14" s="38">
        <f>$Y$7*N14/$Z$2/U14</f>
        <v>3.8961735537190078E-4</v>
      </c>
      <c r="D14" s="38">
        <f>$Z$7*N14/$Z$2/U14</f>
        <v>6.3888588117539027E-3</v>
      </c>
      <c r="E14" s="38">
        <f>$AA$7*N14/$Z$2*U14</f>
        <v>2.6642900576675842E-5</v>
      </c>
      <c r="F14" s="32">
        <f>U14*$Z$40</f>
        <v>297.21991857881932</v>
      </c>
      <c r="G14" s="8">
        <v>0</v>
      </c>
      <c r="H14" s="8">
        <v>0</v>
      </c>
      <c r="I14" s="8">
        <v>1</v>
      </c>
      <c r="J14" s="8">
        <v>0</v>
      </c>
      <c r="K14" s="8">
        <v>1</v>
      </c>
      <c r="L14" s="8">
        <v>-360</v>
      </c>
      <c r="M14" s="8">
        <v>360</v>
      </c>
      <c r="N14" s="112">
        <f t="shared" si="0"/>
        <v>3.771496</v>
      </c>
      <c r="O14" s="5" t="s">
        <v>51</v>
      </c>
      <c r="P14" s="5" t="s">
        <v>57</v>
      </c>
      <c r="Q14" s="14" t="s">
        <v>244</v>
      </c>
      <c r="R14" s="49">
        <v>66</v>
      </c>
      <c r="S14" s="103">
        <v>147.18738999999999</v>
      </c>
      <c r="T14" s="103">
        <f t="shared" si="1"/>
        <v>0</v>
      </c>
      <c r="U14" s="138">
        <v>2</v>
      </c>
      <c r="V14" s="112">
        <v>0.94287399999999999</v>
      </c>
      <c r="X14" s="30">
        <v>70</v>
      </c>
      <c r="Y14" s="8">
        <v>255</v>
      </c>
      <c r="Z14" s="26">
        <f t="shared" ref="Z14:Z21" si="2">SQRT(3)*$X$12*Y14/1000</f>
        <v>9.7168050304614013</v>
      </c>
      <c r="AA14" s="27">
        <f>348/1000</f>
        <v>0.34799999999999998</v>
      </c>
      <c r="AB14" s="8">
        <v>0.121</v>
      </c>
      <c r="AC14" s="8">
        <v>0.2</v>
      </c>
      <c r="AD14" s="88">
        <f>2*3.14*50*AC14*0.000001</f>
        <v>6.2799999999999995E-5</v>
      </c>
    </row>
    <row r="15" spans="1:30" x14ac:dyDescent="0.25">
      <c r="A15" s="6">
        <v>9</v>
      </c>
      <c r="B15" s="6">
        <v>14</v>
      </c>
      <c r="C15" s="38">
        <f>$Y$7*N15/$Z$2/U15</f>
        <v>3.1481880165289253E-4</v>
      </c>
      <c r="D15" s="38">
        <f>$Z$7*N15/$Z$2/U15</f>
        <v>5.1623287497704305E-3</v>
      </c>
      <c r="E15" s="38">
        <f>$AA$7*N15/$Z$2*U15</f>
        <v>2.1528009254361794E-5</v>
      </c>
      <c r="F15" s="32">
        <f>U15*$Z$40</f>
        <v>297.21991857881932</v>
      </c>
      <c r="G15" s="8">
        <v>0</v>
      </c>
      <c r="H15" s="8">
        <v>0</v>
      </c>
      <c r="I15" s="8">
        <v>1</v>
      </c>
      <c r="J15" s="8">
        <v>0</v>
      </c>
      <c r="K15" s="8">
        <v>1</v>
      </c>
      <c r="L15" s="8">
        <v>-360</v>
      </c>
      <c r="M15" s="8">
        <v>360</v>
      </c>
      <c r="N15" s="112">
        <f t="shared" si="0"/>
        <v>3.0474459999999999</v>
      </c>
      <c r="O15" s="5" t="s">
        <v>51</v>
      </c>
      <c r="P15" s="5" t="s">
        <v>54</v>
      </c>
      <c r="Q15" s="14" t="s">
        <v>244</v>
      </c>
      <c r="R15" s="49">
        <v>66</v>
      </c>
      <c r="S15" s="103">
        <v>144.31922</v>
      </c>
      <c r="T15" s="103">
        <f t="shared" si="1"/>
        <v>0</v>
      </c>
      <c r="U15" s="138">
        <v>2</v>
      </c>
      <c r="V15" s="112">
        <v>0.76186149999999997</v>
      </c>
      <c r="X15" s="30">
        <v>95</v>
      </c>
      <c r="Y15" s="8">
        <v>295</v>
      </c>
      <c r="Z15" s="26">
        <f t="shared" si="2"/>
        <v>11.241009741122014</v>
      </c>
      <c r="AA15" s="27">
        <f>248/1000</f>
        <v>0.248</v>
      </c>
      <c r="AB15" s="8">
        <v>0.114</v>
      </c>
      <c r="AC15" s="8">
        <v>0.23300000000000001</v>
      </c>
      <c r="AD15" s="88">
        <f t="shared" ref="AD15:AD21" si="3">2*3.14*50*AC15*0.000001</f>
        <v>7.3162000000000002E-5</v>
      </c>
    </row>
    <row r="16" spans="1:30" x14ac:dyDescent="0.25">
      <c r="A16" s="6">
        <v>9</v>
      </c>
      <c r="B16" s="6">
        <v>12</v>
      </c>
      <c r="C16" s="38">
        <f>$Y$7*N16/$Z$2/U16</f>
        <v>2.7226673553719003E-4</v>
      </c>
      <c r="D16" s="38">
        <f>$Z$7*N16/$Z$2/U16</f>
        <v>4.4645694256198335E-3</v>
      </c>
      <c r="E16" s="38">
        <f>$AA$7*N16/$Z$2*U16</f>
        <v>1.8618204413223134E-5</v>
      </c>
      <c r="F16" s="32">
        <f>U16*$Z$40</f>
        <v>297.21991857881932</v>
      </c>
      <c r="G16" s="8">
        <v>0</v>
      </c>
      <c r="H16" s="8">
        <v>0</v>
      </c>
      <c r="I16" s="8">
        <v>1</v>
      </c>
      <c r="J16" s="8">
        <v>0</v>
      </c>
      <c r="K16" s="8">
        <v>1</v>
      </c>
      <c r="L16" s="8">
        <v>-360</v>
      </c>
      <c r="M16" s="8">
        <v>360</v>
      </c>
      <c r="N16" s="112">
        <f t="shared" si="0"/>
        <v>2.6355419999999996</v>
      </c>
      <c r="O16" s="5" t="s">
        <v>51</v>
      </c>
      <c r="P16" s="5" t="s">
        <v>55</v>
      </c>
      <c r="Q16" s="14" t="s">
        <v>244</v>
      </c>
      <c r="R16" s="49">
        <v>66</v>
      </c>
      <c r="S16" s="103">
        <v>51.411665999999997</v>
      </c>
      <c r="T16" s="103">
        <f t="shared" si="1"/>
        <v>0</v>
      </c>
      <c r="U16" s="138">
        <v>2</v>
      </c>
      <c r="V16" s="112">
        <v>0.6588854999999999</v>
      </c>
      <c r="X16" s="30">
        <v>120</v>
      </c>
      <c r="Y16" s="8">
        <v>335</v>
      </c>
      <c r="Z16" s="26">
        <f t="shared" si="2"/>
        <v>12.765214451782626</v>
      </c>
      <c r="AA16" s="27">
        <v>0.19600000000000001</v>
      </c>
      <c r="AB16" s="8">
        <v>0.11</v>
      </c>
      <c r="AC16" s="8">
        <v>0.24099999999999999</v>
      </c>
      <c r="AD16" s="88">
        <f t="shared" si="3"/>
        <v>7.5673999999999994E-5</v>
      </c>
    </row>
    <row r="17" spans="1:31" x14ac:dyDescent="0.25">
      <c r="A17" s="6">
        <v>10</v>
      </c>
      <c r="B17" s="6">
        <v>16</v>
      </c>
      <c r="C17" s="38">
        <f>$Y$7*N17/$Z$2/U17</f>
        <v>2.038953168044077E-5</v>
      </c>
      <c r="D17" s="38">
        <f>$Z$7*N17/$Z$2/U17</f>
        <v>3.343430094888276E-4</v>
      </c>
      <c r="E17" s="38">
        <f>$AA$7*N17/$Z$2*U17</f>
        <v>3.1371333443526163E-6</v>
      </c>
      <c r="F17" s="32">
        <f>U17*$Z$40</f>
        <v>445.829877868229</v>
      </c>
      <c r="G17" s="8">
        <v>0</v>
      </c>
      <c r="H17" s="8">
        <v>0</v>
      </c>
      <c r="I17" s="8">
        <v>1</v>
      </c>
      <c r="J17" s="8">
        <v>0</v>
      </c>
      <c r="K17" s="8">
        <v>1</v>
      </c>
      <c r="L17" s="8">
        <v>-360</v>
      </c>
      <c r="M17" s="8">
        <v>360</v>
      </c>
      <c r="N17" s="112">
        <f t="shared" si="0"/>
        <v>0.29605599999999999</v>
      </c>
      <c r="O17" s="5" t="s">
        <v>52</v>
      </c>
      <c r="P17" s="5" t="s">
        <v>53</v>
      </c>
      <c r="Q17" s="14" t="s">
        <v>244</v>
      </c>
      <c r="R17" s="49">
        <v>66</v>
      </c>
      <c r="S17" s="103">
        <v>332.08318000000003</v>
      </c>
      <c r="T17" s="103">
        <f t="shared" si="1"/>
        <v>0</v>
      </c>
      <c r="U17" s="138">
        <v>3</v>
      </c>
      <c r="V17" s="112">
        <v>7.4013999999999996E-2</v>
      </c>
      <c r="X17" s="30">
        <v>150</v>
      </c>
      <c r="Y17" s="8">
        <v>375</v>
      </c>
      <c r="Z17" s="26">
        <f t="shared" si="2"/>
        <v>14.289419162443236</v>
      </c>
      <c r="AA17" s="27">
        <v>0.159</v>
      </c>
      <c r="AB17" s="8">
        <v>0.107</v>
      </c>
      <c r="AC17" s="8">
        <v>0.25900000000000001</v>
      </c>
      <c r="AD17" s="88">
        <f t="shared" si="3"/>
        <v>8.1326E-5</v>
      </c>
    </row>
    <row r="18" spans="1:31" x14ac:dyDescent="0.25">
      <c r="A18" s="6">
        <v>206</v>
      </c>
      <c r="B18" s="6">
        <v>19</v>
      </c>
      <c r="C18" s="38">
        <f>$Y$7*N18/$Z$2/U18</f>
        <v>4.132231404958677E-4</v>
      </c>
      <c r="D18" s="38">
        <f>$Z$7*N18/$Z$2/U18</f>
        <v>6.775941230486685E-3</v>
      </c>
      <c r="E18" s="38">
        <f>$AA$7*N18/$Z$2*U18</f>
        <v>6.35785123966942E-5</v>
      </c>
      <c r="F18" s="32">
        <f>U18*$Z$40</f>
        <v>445.829877868229</v>
      </c>
      <c r="G18" s="8">
        <v>0</v>
      </c>
      <c r="H18" s="8">
        <v>0</v>
      </c>
      <c r="I18" s="8">
        <v>1</v>
      </c>
      <c r="J18" s="8">
        <v>0</v>
      </c>
      <c r="K18" s="8">
        <v>1</v>
      </c>
      <c r="L18" s="8">
        <v>-360</v>
      </c>
      <c r="M18" s="8">
        <v>360</v>
      </c>
      <c r="N18" s="112">
        <f t="shared" si="0"/>
        <v>6</v>
      </c>
      <c r="O18" s="5" t="s">
        <v>228</v>
      </c>
      <c r="P18" s="5" t="s">
        <v>62</v>
      </c>
      <c r="Q18" s="14" t="s">
        <v>244</v>
      </c>
      <c r="R18" s="49">
        <v>66</v>
      </c>
      <c r="S18" s="103">
        <v>309.20123000000001</v>
      </c>
      <c r="T18" s="103">
        <f t="shared" si="1"/>
        <v>0</v>
      </c>
      <c r="U18" s="138">
        <v>3</v>
      </c>
      <c r="V18" s="112">
        <v>1.5</v>
      </c>
      <c r="X18" s="30">
        <v>185</v>
      </c>
      <c r="Y18" s="8">
        <v>420</v>
      </c>
      <c r="Z18" s="26">
        <f t="shared" si="2"/>
        <v>16.004149461936425</v>
      </c>
      <c r="AA18" s="27">
        <v>0.128</v>
      </c>
      <c r="AB18" s="8">
        <v>0.10299999999999999</v>
      </c>
      <c r="AC18" s="8">
        <v>0.27500000000000002</v>
      </c>
      <c r="AD18" s="88">
        <f t="shared" si="3"/>
        <v>8.6349999999999998E-5</v>
      </c>
    </row>
    <row r="19" spans="1:31" x14ac:dyDescent="0.25">
      <c r="A19" s="117">
        <v>8</v>
      </c>
      <c r="B19" s="117">
        <v>208</v>
      </c>
      <c r="C19" s="118">
        <f>$Y$8*N19/$AA$2/U19</f>
        <v>6.5566902079395084E-5</v>
      </c>
      <c r="D19" s="118">
        <f>$Z$8*N19/$AA$2/U19</f>
        <v>1.1209026171039697E-3</v>
      </c>
      <c r="E19" s="118">
        <f>$AA$8*N19/$AA$2*U19</f>
        <v>4.941121740703214E-6</v>
      </c>
      <c r="F19" s="119">
        <f>$Z$54*U19</f>
        <v>1685.1122306837608</v>
      </c>
      <c r="G19" s="120">
        <v>0</v>
      </c>
      <c r="H19" s="120">
        <v>0</v>
      </c>
      <c r="I19" s="120">
        <v>1</v>
      </c>
      <c r="J19" s="120">
        <v>0</v>
      </c>
      <c r="K19" s="120">
        <v>1</v>
      </c>
      <c r="L19" s="120">
        <v>-360</v>
      </c>
      <c r="M19" s="120">
        <v>360</v>
      </c>
      <c r="N19" s="121">
        <f t="shared" si="0"/>
        <v>11.5616304</v>
      </c>
      <c r="O19" s="5" t="s">
        <v>50</v>
      </c>
      <c r="P19" s="5" t="s">
        <v>50</v>
      </c>
      <c r="Q19" s="14" t="s">
        <v>244</v>
      </c>
      <c r="R19" s="50">
        <v>230</v>
      </c>
      <c r="S19" s="103">
        <v>741.37486999999999</v>
      </c>
      <c r="T19" s="103">
        <f t="shared" si="1"/>
        <v>0</v>
      </c>
      <c r="U19" s="138">
        <v>3</v>
      </c>
      <c r="V19" s="112">
        <v>2.8904076000000001</v>
      </c>
      <c r="X19" s="30">
        <v>240</v>
      </c>
      <c r="Y19" s="8">
        <v>480</v>
      </c>
      <c r="Z19" s="26">
        <f t="shared" si="2"/>
        <v>18.290456527927343</v>
      </c>
      <c r="AA19" s="27">
        <v>9.8000000000000004E-2</v>
      </c>
      <c r="AB19" s="8">
        <v>9.9500000000000005E-2</v>
      </c>
      <c r="AC19" s="8">
        <v>0.30499999999999999</v>
      </c>
      <c r="AD19" s="88">
        <f t="shared" si="3"/>
        <v>9.5769999999999986E-5</v>
      </c>
    </row>
    <row r="20" spans="1:31" x14ac:dyDescent="0.25">
      <c r="A20" s="117">
        <v>208</v>
      </c>
      <c r="B20" s="117">
        <v>20</v>
      </c>
      <c r="C20" s="122">
        <f>$AB$62/100*$X$2/F20</f>
        <v>3.0554494654014885E-5</v>
      </c>
      <c r="D20" s="122">
        <f>$AA$62/100*$X$2/F20</f>
        <v>3.6665393584824481E-3</v>
      </c>
      <c r="E20" s="122">
        <v>0</v>
      </c>
      <c r="F20" s="119">
        <f>$AC$62*U11</f>
        <v>3000</v>
      </c>
      <c r="G20" s="123">
        <v>0</v>
      </c>
      <c r="H20" s="123">
        <v>0</v>
      </c>
      <c r="I20" s="123">
        <v>1</v>
      </c>
      <c r="J20" s="123">
        <v>0</v>
      </c>
      <c r="K20" s="123">
        <v>1</v>
      </c>
      <c r="L20" s="123">
        <v>-360</v>
      </c>
      <c r="M20" s="123">
        <v>360</v>
      </c>
      <c r="N20" s="121">
        <f t="shared" si="0"/>
        <v>8</v>
      </c>
      <c r="O20" s="5" t="s">
        <v>50</v>
      </c>
      <c r="P20" s="5" t="s">
        <v>61</v>
      </c>
      <c r="Q20" s="34" t="s">
        <v>245</v>
      </c>
      <c r="R20" s="50">
        <v>230</v>
      </c>
      <c r="S20" s="103">
        <v>709.20552999999995</v>
      </c>
      <c r="T20" s="103">
        <f t="shared" si="1"/>
        <v>0</v>
      </c>
      <c r="U20" s="92">
        <v>1</v>
      </c>
      <c r="V20" s="112">
        <v>2</v>
      </c>
      <c r="X20" s="34">
        <v>300</v>
      </c>
      <c r="Y20" s="14">
        <v>530</v>
      </c>
      <c r="Z20" s="47">
        <f t="shared" si="2"/>
        <v>20.195712416253109</v>
      </c>
      <c r="AA20" s="48">
        <v>8.8999999999999996E-2</v>
      </c>
      <c r="AB20" s="14">
        <v>9.4399999999999998E-2</v>
      </c>
      <c r="AC20" s="14">
        <v>0.33900000000000002</v>
      </c>
      <c r="AD20" s="89">
        <f t="shared" si="3"/>
        <v>1.06446E-4</v>
      </c>
    </row>
    <row r="21" spans="1:31" x14ac:dyDescent="0.25">
      <c r="A21" s="6">
        <v>185</v>
      </c>
      <c r="B21" s="6">
        <v>19</v>
      </c>
      <c r="C21" s="38">
        <f>$Y$7*N21/$Z$2/U21</f>
        <v>1.2396694214876032E-3</v>
      </c>
      <c r="D21" s="38">
        <f>$Z$7*N21/$Z$2/U21</f>
        <v>2.0327823691460054E-2</v>
      </c>
      <c r="E21" s="38">
        <f>$AA$7*N21/$Z$2*U21</f>
        <v>8.4771349862258934E-5</v>
      </c>
      <c r="F21" s="32">
        <f>U21*$Z$40</f>
        <v>297.21991857881932</v>
      </c>
      <c r="G21" s="8">
        <v>0</v>
      </c>
      <c r="H21" s="8">
        <v>0</v>
      </c>
      <c r="I21" s="8">
        <v>1</v>
      </c>
      <c r="J21" s="8">
        <v>0</v>
      </c>
      <c r="K21" s="8">
        <v>1</v>
      </c>
      <c r="L21" s="8">
        <v>-360</v>
      </c>
      <c r="M21" s="8">
        <v>360</v>
      </c>
      <c r="N21" s="112">
        <f t="shared" si="0"/>
        <v>12</v>
      </c>
      <c r="O21" s="5" t="s">
        <v>171</v>
      </c>
      <c r="P21" s="5" t="s">
        <v>62</v>
      </c>
      <c r="Q21" s="14" t="s">
        <v>244</v>
      </c>
      <c r="R21" s="49">
        <v>66</v>
      </c>
      <c r="S21" s="103">
        <v>116.13548</v>
      </c>
      <c r="T21" s="103">
        <f t="shared" si="1"/>
        <v>0</v>
      </c>
      <c r="U21" s="138">
        <v>2</v>
      </c>
      <c r="V21" s="112">
        <v>3</v>
      </c>
      <c r="X21" s="30">
        <v>400</v>
      </c>
      <c r="Y21" s="8">
        <v>580</v>
      </c>
      <c r="Z21" s="26">
        <f t="shared" si="2"/>
        <v>22.100968304578874</v>
      </c>
      <c r="AA21" s="27">
        <v>6.4000000000000001E-2</v>
      </c>
      <c r="AB21" s="8">
        <v>9.1200000000000003E-2</v>
      </c>
      <c r="AC21" s="8">
        <v>0.373</v>
      </c>
      <c r="AD21" s="88">
        <f t="shared" si="3"/>
        <v>1.1712199999999999E-4</v>
      </c>
    </row>
    <row r="22" spans="1:31" x14ac:dyDescent="0.25">
      <c r="A22" s="6">
        <v>11</v>
      </c>
      <c r="B22" s="6">
        <v>18</v>
      </c>
      <c r="C22" s="38">
        <f>$Y$7*N22/$Z$2/U22</f>
        <v>4.1322314049586773E-5</v>
      </c>
      <c r="D22" s="38">
        <f>$Z$7*N22/$Z$2/U22</f>
        <v>6.7759412304866848E-4</v>
      </c>
      <c r="E22" s="38">
        <f>$AA$7*N22/$Z$2*U22</f>
        <v>2.8257116620752979E-6</v>
      </c>
      <c r="F22" s="32">
        <f>U22*$Z$40</f>
        <v>297.21991857881932</v>
      </c>
      <c r="G22" s="8">
        <v>0</v>
      </c>
      <c r="H22" s="8">
        <v>0</v>
      </c>
      <c r="I22" s="8">
        <v>1</v>
      </c>
      <c r="J22" s="8">
        <v>0</v>
      </c>
      <c r="K22" s="8">
        <v>1</v>
      </c>
      <c r="L22" s="8">
        <v>-360</v>
      </c>
      <c r="M22" s="8">
        <v>360</v>
      </c>
      <c r="N22" s="112">
        <f t="shared" si="0"/>
        <v>0.4</v>
      </c>
      <c r="O22" s="5" t="s">
        <v>58</v>
      </c>
      <c r="P22" s="5" t="s">
        <v>60</v>
      </c>
      <c r="Q22" s="14" t="s">
        <v>244</v>
      </c>
      <c r="R22" s="49">
        <v>66</v>
      </c>
      <c r="S22" s="103">
        <v>81.399657000000005</v>
      </c>
      <c r="T22" s="103">
        <f t="shared" si="1"/>
        <v>0</v>
      </c>
      <c r="U22" s="138">
        <v>2</v>
      </c>
      <c r="V22" s="112">
        <v>0.1</v>
      </c>
      <c r="Z22" s="17"/>
      <c r="AA22" s="18"/>
    </row>
    <row r="23" spans="1:31" x14ac:dyDescent="0.25">
      <c r="A23" s="6">
        <v>12</v>
      </c>
      <c r="B23" s="6">
        <v>21</v>
      </c>
      <c r="C23" s="39">
        <f>$AB$63/100*$X$2/F23</f>
        <v>3.3330729471813431E-4</v>
      </c>
      <c r="D23" s="39">
        <f>$AA$63/100*$X$2/F23</f>
        <v>2.6664583577442176E-2</v>
      </c>
      <c r="E23" s="39">
        <v>0</v>
      </c>
      <c r="F23" s="32">
        <f>U23*$AC$63</f>
        <v>300</v>
      </c>
      <c r="G23" s="30">
        <v>0</v>
      </c>
      <c r="H23" s="30">
        <v>0</v>
      </c>
      <c r="I23" s="30">
        <v>1</v>
      </c>
      <c r="J23" s="30">
        <v>0</v>
      </c>
      <c r="K23" s="30">
        <v>1</v>
      </c>
      <c r="L23" s="30">
        <v>-360</v>
      </c>
      <c r="M23" s="30">
        <v>360</v>
      </c>
      <c r="N23" s="112">
        <f t="shared" si="0"/>
        <v>3.9993303999999998</v>
      </c>
      <c r="O23" s="33" t="s">
        <v>55</v>
      </c>
      <c r="P23" s="33" t="s">
        <v>99</v>
      </c>
      <c r="Q23" s="34" t="s">
        <v>245</v>
      </c>
      <c r="R23" s="64">
        <v>66</v>
      </c>
      <c r="S23" s="103">
        <v>51.053583000000003</v>
      </c>
      <c r="T23" s="103">
        <f t="shared" si="1"/>
        <v>0</v>
      </c>
      <c r="U23" s="92">
        <v>1</v>
      </c>
      <c r="V23" s="113">
        <v>0.99983259999999996</v>
      </c>
      <c r="Z23" s="17"/>
      <c r="AA23" s="18"/>
    </row>
    <row r="24" spans="1:31" x14ac:dyDescent="0.25">
      <c r="A24" s="6">
        <v>13</v>
      </c>
      <c r="B24" s="6">
        <v>22</v>
      </c>
      <c r="C24" s="39">
        <f>$AB$63/100*$X$2/F24</f>
        <v>3.3330729471813431E-4</v>
      </c>
      <c r="D24" s="39">
        <f>$AA$63/100*$X$2/F24</f>
        <v>2.6664583577442176E-2</v>
      </c>
      <c r="E24" s="39">
        <v>0</v>
      </c>
      <c r="F24" s="32">
        <f>U24*$AC$63</f>
        <v>300</v>
      </c>
      <c r="G24" s="30">
        <v>0</v>
      </c>
      <c r="H24" s="30">
        <v>0</v>
      </c>
      <c r="I24" s="30">
        <v>1</v>
      </c>
      <c r="J24" s="30">
        <v>0</v>
      </c>
      <c r="K24" s="30">
        <v>1</v>
      </c>
      <c r="L24" s="30">
        <v>-360</v>
      </c>
      <c r="M24" s="30">
        <v>360</v>
      </c>
      <c r="N24" s="112">
        <f t="shared" si="0"/>
        <v>3.9993303999999998</v>
      </c>
      <c r="O24" s="33" t="s">
        <v>57</v>
      </c>
      <c r="P24" s="33" t="s">
        <v>83</v>
      </c>
      <c r="Q24" s="34" t="s">
        <v>245</v>
      </c>
      <c r="R24" s="64">
        <v>66</v>
      </c>
      <c r="S24" s="103">
        <v>21.054117999999999</v>
      </c>
      <c r="T24" s="103">
        <f t="shared" si="1"/>
        <v>0</v>
      </c>
      <c r="U24" s="92">
        <v>1</v>
      </c>
      <c r="V24" s="113">
        <v>0.99983259999999996</v>
      </c>
      <c r="X24" s="15" t="s">
        <v>254</v>
      </c>
      <c r="Y24" s="16"/>
      <c r="Z24" s="17"/>
      <c r="AA24" s="18"/>
    </row>
    <row r="25" spans="1:31" x14ac:dyDescent="0.25">
      <c r="A25" s="6">
        <v>14</v>
      </c>
      <c r="B25" s="6">
        <v>23</v>
      </c>
      <c r="C25" s="39">
        <f>$AB$63/100*$X$2/F25</f>
        <v>3.3330729471813431E-4</v>
      </c>
      <c r="D25" s="39">
        <f>$AA$63/100*$X$2/F25</f>
        <v>2.6664583577442176E-2</v>
      </c>
      <c r="E25" s="39">
        <v>0</v>
      </c>
      <c r="F25" s="32">
        <f>U25*$AC$63</f>
        <v>300</v>
      </c>
      <c r="G25" s="30">
        <v>0</v>
      </c>
      <c r="H25" s="30">
        <v>0</v>
      </c>
      <c r="I25" s="30">
        <v>1</v>
      </c>
      <c r="J25" s="30">
        <v>0</v>
      </c>
      <c r="K25" s="30">
        <v>1</v>
      </c>
      <c r="L25" s="30">
        <v>-360</v>
      </c>
      <c r="M25" s="30">
        <v>360</v>
      </c>
      <c r="N25" s="112">
        <f t="shared" si="0"/>
        <v>3.9993303999999998</v>
      </c>
      <c r="O25" s="33" t="s">
        <v>54</v>
      </c>
      <c r="P25" s="33" t="s">
        <v>63</v>
      </c>
      <c r="Q25" s="34" t="s">
        <v>245</v>
      </c>
      <c r="R25" s="64">
        <v>66</v>
      </c>
      <c r="S25" s="103">
        <v>40.223148000000002</v>
      </c>
      <c r="T25" s="103">
        <f t="shared" si="1"/>
        <v>0</v>
      </c>
      <c r="U25" s="92">
        <v>1</v>
      </c>
      <c r="V25" s="113">
        <v>0.99983259999999996</v>
      </c>
      <c r="X25" s="19">
        <v>66</v>
      </c>
      <c r="Y25" s="20"/>
      <c r="Z25" s="21"/>
      <c r="AA25" s="22"/>
      <c r="AB25" s="2"/>
      <c r="AC25" s="2"/>
    </row>
    <row r="26" spans="1:31" ht="17.25" customHeight="1" x14ac:dyDescent="0.25">
      <c r="A26" s="6">
        <v>14</v>
      </c>
      <c r="B26" s="6">
        <v>15</v>
      </c>
      <c r="C26" s="38">
        <f>$Y$7*N26/$Z$2/U26</f>
        <v>7.7497950413223137E-4</v>
      </c>
      <c r="D26" s="38">
        <f>$Z$7*N26/$Z$2/U26</f>
        <v>1.2707941691092744E-2</v>
      </c>
      <c r="E26" s="38">
        <f>$AA$7*N26/$Z$2*U26</f>
        <v>1.3248705167309452E-5</v>
      </c>
      <c r="F26" s="32">
        <f>U26*$Z$40</f>
        <v>148.60995928940966</v>
      </c>
      <c r="G26" s="8">
        <v>0</v>
      </c>
      <c r="H26" s="8">
        <v>0</v>
      </c>
      <c r="I26" s="8">
        <v>1</v>
      </c>
      <c r="J26" s="8">
        <v>0</v>
      </c>
      <c r="K26" s="8">
        <v>1</v>
      </c>
      <c r="L26" s="8">
        <v>-360</v>
      </c>
      <c r="M26" s="8">
        <v>360</v>
      </c>
      <c r="N26" s="112">
        <f t="shared" si="0"/>
        <v>3.7509007999999997</v>
      </c>
      <c r="O26" s="5" t="s">
        <v>54</v>
      </c>
      <c r="P26" s="5" t="s">
        <v>56</v>
      </c>
      <c r="Q26" s="14" t="s">
        <v>244</v>
      </c>
      <c r="R26" s="49">
        <v>66</v>
      </c>
      <c r="S26" s="103">
        <v>103.15513</v>
      </c>
      <c r="T26" s="103">
        <f t="shared" si="1"/>
        <v>0</v>
      </c>
      <c r="U26" s="92">
        <v>1</v>
      </c>
      <c r="V26" s="112">
        <v>0.93772519999999993</v>
      </c>
      <c r="X26" s="23" t="s">
        <v>248</v>
      </c>
      <c r="Y26" s="23" t="s">
        <v>255</v>
      </c>
      <c r="Z26" s="24" t="s">
        <v>250</v>
      </c>
      <c r="AA26" s="23" t="s">
        <v>256</v>
      </c>
      <c r="AB26" s="25" t="s">
        <v>257</v>
      </c>
      <c r="AC26" s="25" t="s">
        <v>252</v>
      </c>
      <c r="AD26" s="23" t="s">
        <v>253</v>
      </c>
      <c r="AE26" s="31" t="s">
        <v>911</v>
      </c>
    </row>
    <row r="27" spans="1:31" x14ac:dyDescent="0.25">
      <c r="A27" s="6">
        <v>15</v>
      </c>
      <c r="B27" s="6">
        <v>24</v>
      </c>
      <c r="C27" s="39">
        <f>$AB$63/100*$X$2/F27</f>
        <v>3.3330729471813431E-4</v>
      </c>
      <c r="D27" s="39">
        <f>$AA$63/100*$X$2/F27</f>
        <v>2.6664583577442176E-2</v>
      </c>
      <c r="E27" s="39">
        <v>0</v>
      </c>
      <c r="F27" s="32">
        <f t="shared" ref="F27:F32" si="4">U27*$AC$63</f>
        <v>300</v>
      </c>
      <c r="G27" s="30">
        <v>0</v>
      </c>
      <c r="H27" s="30">
        <v>0</v>
      </c>
      <c r="I27" s="30">
        <v>1</v>
      </c>
      <c r="J27" s="30">
        <v>0</v>
      </c>
      <c r="K27" s="30">
        <v>1</v>
      </c>
      <c r="L27" s="30">
        <v>-360</v>
      </c>
      <c r="M27" s="30">
        <v>360</v>
      </c>
      <c r="N27" s="112">
        <f t="shared" si="0"/>
        <v>3.9993303999999998</v>
      </c>
      <c r="O27" s="33" t="s">
        <v>56</v>
      </c>
      <c r="P27" s="33" t="s">
        <v>80</v>
      </c>
      <c r="Q27" s="34" t="s">
        <v>245</v>
      </c>
      <c r="R27" s="64">
        <v>66</v>
      </c>
      <c r="S27" s="103">
        <v>41.487679</v>
      </c>
      <c r="T27" s="103">
        <f t="shared" si="1"/>
        <v>0</v>
      </c>
      <c r="U27" s="92">
        <v>1</v>
      </c>
      <c r="V27" s="113">
        <v>0.99983259999999996</v>
      </c>
      <c r="X27" s="30">
        <v>95</v>
      </c>
      <c r="Y27" s="8">
        <v>285</v>
      </c>
      <c r="Z27" s="26">
        <f t="shared" ref="Z27:Z41" si="5">SQRT(3)*$X$25*Y27/1000</f>
        <v>32.579875690370578</v>
      </c>
      <c r="AA27" s="27">
        <v>0.193</v>
      </c>
      <c r="AB27" s="8">
        <v>0.7</v>
      </c>
      <c r="AC27" s="8">
        <f>2*3.14*50*AB27*0.001</f>
        <v>0.2198</v>
      </c>
      <c r="AD27" s="8">
        <v>0.16</v>
      </c>
      <c r="AE27" s="88">
        <f>2*3.14*50*AD27*0.000001</f>
        <v>5.024E-5</v>
      </c>
    </row>
    <row r="28" spans="1:31" x14ac:dyDescent="0.25">
      <c r="A28" s="6">
        <v>16</v>
      </c>
      <c r="B28" s="6">
        <v>25</v>
      </c>
      <c r="C28" s="39">
        <v>1.84000004083E-4</v>
      </c>
      <c r="D28" s="39">
        <v>4.5909998007120003E-3</v>
      </c>
      <c r="E28" s="39">
        <v>0</v>
      </c>
      <c r="F28" s="32">
        <f t="shared" si="4"/>
        <v>300</v>
      </c>
      <c r="G28" s="30">
        <v>0</v>
      </c>
      <c r="H28" s="30">
        <v>0</v>
      </c>
      <c r="I28" s="30">
        <v>1</v>
      </c>
      <c r="J28" s="30">
        <v>0</v>
      </c>
      <c r="K28" s="30">
        <v>1</v>
      </c>
      <c r="L28" s="30">
        <v>-360</v>
      </c>
      <c r="M28" s="30">
        <v>360</v>
      </c>
      <c r="N28" s="112">
        <f t="shared" si="0"/>
        <v>3.9993303999999998</v>
      </c>
      <c r="O28" s="33" t="s">
        <v>53</v>
      </c>
      <c r="P28" s="33" t="s">
        <v>122</v>
      </c>
      <c r="Q28" s="34" t="s">
        <v>245</v>
      </c>
      <c r="R28" s="64">
        <v>66</v>
      </c>
      <c r="S28" s="103">
        <v>36.270668999999998</v>
      </c>
      <c r="T28" s="103">
        <f t="shared" si="1"/>
        <v>0</v>
      </c>
      <c r="U28" s="92">
        <v>1</v>
      </c>
      <c r="V28" s="113">
        <v>0.99983259999999996</v>
      </c>
      <c r="X28" s="30">
        <v>120</v>
      </c>
      <c r="Y28" s="8">
        <v>325</v>
      </c>
      <c r="Z28" s="26">
        <f t="shared" si="5"/>
        <v>37.152489822352415</v>
      </c>
      <c r="AA28" s="27">
        <v>0.153</v>
      </c>
      <c r="AB28" s="8">
        <v>0.68</v>
      </c>
      <c r="AC28" s="8">
        <f t="shared" ref="AC28:AC41" si="6">2*3.14*50*AB28*0.001</f>
        <v>0.21352000000000002</v>
      </c>
      <c r="AD28" s="8">
        <v>0.18</v>
      </c>
      <c r="AE28" s="88">
        <f t="shared" ref="AE28:AE41" si="7">2*3.14*50*AD28*0.000001</f>
        <v>5.6519999999999994E-5</v>
      </c>
    </row>
    <row r="29" spans="1:31" x14ac:dyDescent="0.25">
      <c r="A29" s="6">
        <v>17</v>
      </c>
      <c r="B29" s="6">
        <v>26</v>
      </c>
      <c r="C29" s="39">
        <f>$AB$63/100*$X$2/F29</f>
        <v>3.3330729471813431E-4</v>
      </c>
      <c r="D29" s="39">
        <f>$AA$63/100*$X$2/F29</f>
        <v>2.6664583577442176E-2</v>
      </c>
      <c r="E29" s="39">
        <v>0</v>
      </c>
      <c r="F29" s="32">
        <f t="shared" si="4"/>
        <v>300</v>
      </c>
      <c r="G29" s="30">
        <v>0</v>
      </c>
      <c r="H29" s="30">
        <v>0</v>
      </c>
      <c r="I29" s="30">
        <v>1</v>
      </c>
      <c r="J29" s="30">
        <v>0</v>
      </c>
      <c r="K29" s="30">
        <v>1</v>
      </c>
      <c r="L29" s="30">
        <v>-360</v>
      </c>
      <c r="M29" s="30">
        <v>360</v>
      </c>
      <c r="N29" s="112">
        <f t="shared" si="0"/>
        <v>3.9993303999999998</v>
      </c>
      <c r="O29" s="33" t="s">
        <v>59</v>
      </c>
      <c r="P29" s="33" t="s">
        <v>93</v>
      </c>
      <c r="Q29" s="34" t="s">
        <v>245</v>
      </c>
      <c r="R29" s="64">
        <v>66</v>
      </c>
      <c r="S29" s="103">
        <v>136.25424000000001</v>
      </c>
      <c r="T29" s="103">
        <f t="shared" si="1"/>
        <v>0</v>
      </c>
      <c r="U29" s="92">
        <v>1</v>
      </c>
      <c r="V29" s="113">
        <v>0.99983259999999996</v>
      </c>
      <c r="X29" s="30">
        <v>150</v>
      </c>
      <c r="Y29" s="8">
        <v>360</v>
      </c>
      <c r="Z29" s="26">
        <f t="shared" si="5"/>
        <v>41.153527187836524</v>
      </c>
      <c r="AA29" s="27">
        <v>0.124</v>
      </c>
      <c r="AB29" s="8">
        <v>0.65</v>
      </c>
      <c r="AC29" s="8">
        <f t="shared" si="6"/>
        <v>0.2041</v>
      </c>
      <c r="AD29" s="8">
        <v>0.19</v>
      </c>
      <c r="AE29" s="88">
        <f t="shared" si="7"/>
        <v>5.9660000000000001E-5</v>
      </c>
    </row>
    <row r="30" spans="1:31" x14ac:dyDescent="0.25">
      <c r="A30" s="6">
        <v>18</v>
      </c>
      <c r="B30" s="6">
        <v>27</v>
      </c>
      <c r="C30" s="39">
        <f>$AB$63/100*$X$2/F30</f>
        <v>3.3330729471813431E-4</v>
      </c>
      <c r="D30" s="39">
        <f>$AA$63/100*$X$2/F30</f>
        <v>2.6664583577442176E-2</v>
      </c>
      <c r="E30" s="39">
        <v>0</v>
      </c>
      <c r="F30" s="32">
        <f t="shared" si="4"/>
        <v>300</v>
      </c>
      <c r="G30" s="30">
        <v>0</v>
      </c>
      <c r="H30" s="30">
        <v>0</v>
      </c>
      <c r="I30" s="30">
        <v>1</v>
      </c>
      <c r="J30" s="30">
        <v>0</v>
      </c>
      <c r="K30" s="30">
        <v>1</v>
      </c>
      <c r="L30" s="30">
        <v>-360</v>
      </c>
      <c r="M30" s="30">
        <v>360</v>
      </c>
      <c r="N30" s="112">
        <f t="shared" si="0"/>
        <v>3.9993303999999998</v>
      </c>
      <c r="O30" s="33" t="s">
        <v>60</v>
      </c>
      <c r="P30" s="33" t="s">
        <v>115</v>
      </c>
      <c r="Q30" s="34" t="s">
        <v>245</v>
      </c>
      <c r="R30" s="64">
        <v>66</v>
      </c>
      <c r="S30" s="103">
        <v>80.473730000000003</v>
      </c>
      <c r="T30" s="103">
        <f t="shared" si="1"/>
        <v>0</v>
      </c>
      <c r="U30" s="92">
        <v>1</v>
      </c>
      <c r="V30" s="113">
        <v>0.99983259999999996</v>
      </c>
      <c r="X30" s="30">
        <v>185</v>
      </c>
      <c r="Y30" s="8">
        <v>410</v>
      </c>
      <c r="Z30" s="26">
        <f t="shared" si="5"/>
        <v>46.869294852813816</v>
      </c>
      <c r="AA30" s="27">
        <v>9.9099999999999994E-2</v>
      </c>
      <c r="AB30" s="8">
        <v>0.64</v>
      </c>
      <c r="AC30" s="8">
        <f t="shared" si="6"/>
        <v>0.20096</v>
      </c>
      <c r="AD30" s="8">
        <v>0.2</v>
      </c>
      <c r="AE30" s="88">
        <f t="shared" si="7"/>
        <v>6.2799999999999995E-5</v>
      </c>
    </row>
    <row r="31" spans="1:31" x14ac:dyDescent="0.25">
      <c r="A31" s="6">
        <v>19</v>
      </c>
      <c r="B31" s="6">
        <v>28</v>
      </c>
      <c r="C31" s="39">
        <f>$AB$63/100*$X$2/F31</f>
        <v>3.3330729471813431E-4</v>
      </c>
      <c r="D31" s="39">
        <f>$AA$63/100*$X$2/F31</f>
        <v>2.6664583577442176E-2</v>
      </c>
      <c r="E31" s="39">
        <v>0</v>
      </c>
      <c r="F31" s="32">
        <f t="shared" si="4"/>
        <v>300</v>
      </c>
      <c r="G31" s="30">
        <v>0</v>
      </c>
      <c r="H31" s="30">
        <v>0</v>
      </c>
      <c r="I31" s="30">
        <v>1</v>
      </c>
      <c r="J31" s="30">
        <v>0</v>
      </c>
      <c r="K31" s="30">
        <v>1</v>
      </c>
      <c r="L31" s="30">
        <v>-360</v>
      </c>
      <c r="M31" s="30">
        <v>360</v>
      </c>
      <c r="N31" s="112">
        <f t="shared" si="0"/>
        <v>3.9993303999999998</v>
      </c>
      <c r="O31" s="33" t="s">
        <v>62</v>
      </c>
      <c r="P31" s="33" t="s">
        <v>191</v>
      </c>
      <c r="Q31" s="34" t="s">
        <v>245</v>
      </c>
      <c r="R31" s="64">
        <v>66</v>
      </c>
      <c r="S31" s="103">
        <v>172.36955</v>
      </c>
      <c r="T31" s="103">
        <f t="shared" si="1"/>
        <v>0</v>
      </c>
      <c r="U31" s="92">
        <v>1</v>
      </c>
      <c r="V31" s="113">
        <v>0.99983259999999996</v>
      </c>
      <c r="X31" s="30">
        <v>240</v>
      </c>
      <c r="Y31" s="8">
        <v>475</v>
      </c>
      <c r="Z31" s="26">
        <f t="shared" si="5"/>
        <v>54.299792817284292</v>
      </c>
      <c r="AA31" s="27">
        <v>7.5399999999999995E-2</v>
      </c>
      <c r="AB31" s="8">
        <v>0.61</v>
      </c>
      <c r="AC31" s="8">
        <f t="shared" si="6"/>
        <v>0.19153999999999999</v>
      </c>
      <c r="AD31" s="8">
        <v>0.22</v>
      </c>
      <c r="AE31" s="88">
        <f t="shared" si="7"/>
        <v>6.9079999999999996E-5</v>
      </c>
    </row>
    <row r="32" spans="1:31" x14ac:dyDescent="0.25">
      <c r="A32" s="6">
        <v>20</v>
      </c>
      <c r="B32" s="6">
        <v>29</v>
      </c>
      <c r="C32" s="39">
        <f>$AB$63/100*$X$2/F32</f>
        <v>3.3330729471813431E-4</v>
      </c>
      <c r="D32" s="39">
        <f>$AA$63/100*$X$2/F32</f>
        <v>2.6664583577442176E-2</v>
      </c>
      <c r="E32" s="39">
        <v>0</v>
      </c>
      <c r="F32" s="32">
        <f t="shared" si="4"/>
        <v>300</v>
      </c>
      <c r="G32" s="30">
        <v>0</v>
      </c>
      <c r="H32" s="30">
        <v>0</v>
      </c>
      <c r="I32" s="30">
        <v>1</v>
      </c>
      <c r="J32" s="30">
        <v>0</v>
      </c>
      <c r="K32" s="30">
        <v>1</v>
      </c>
      <c r="L32" s="30">
        <v>-360</v>
      </c>
      <c r="M32" s="30">
        <v>360</v>
      </c>
      <c r="N32" s="112">
        <f t="shared" si="0"/>
        <v>3.9993303999999998</v>
      </c>
      <c r="O32" s="33" t="s">
        <v>61</v>
      </c>
      <c r="P32" s="33" t="s">
        <v>166</v>
      </c>
      <c r="Q32" s="34" t="s">
        <v>245</v>
      </c>
      <c r="R32" s="64">
        <v>66</v>
      </c>
      <c r="S32" s="103">
        <v>134.30135000000001</v>
      </c>
      <c r="T32" s="103">
        <f t="shared" si="1"/>
        <v>0</v>
      </c>
      <c r="U32" s="92">
        <v>1</v>
      </c>
      <c r="V32" s="113">
        <v>0.99983259999999996</v>
      </c>
      <c r="X32" s="30">
        <v>300</v>
      </c>
      <c r="Y32" s="8">
        <v>535</v>
      </c>
      <c r="Z32" s="26">
        <f t="shared" si="5"/>
        <v>61.158714015257047</v>
      </c>
      <c r="AA32" s="28">
        <v>0.60099999999999998</v>
      </c>
      <c r="AB32" s="7">
        <v>0.59</v>
      </c>
      <c r="AC32" s="8">
        <f t="shared" si="6"/>
        <v>0.18526000000000001</v>
      </c>
      <c r="AD32" s="8">
        <v>0.24</v>
      </c>
      <c r="AE32" s="88">
        <f t="shared" si="7"/>
        <v>7.5359999999999997E-5</v>
      </c>
    </row>
    <row r="33" spans="1:31" x14ac:dyDescent="0.25">
      <c r="A33" s="106">
        <v>21</v>
      </c>
      <c r="B33" s="106">
        <v>22</v>
      </c>
      <c r="C33" s="107">
        <f t="shared" ref="C33:C47" si="8">$Y$6*N33/$Y$2/U33</f>
        <v>3.6770703057851233E-2</v>
      </c>
      <c r="D33" s="107">
        <f t="shared" ref="D33:D47" si="9">$Z$6*N33/$Y$2/U33</f>
        <v>3.9001734479338843E-2</v>
      </c>
      <c r="E33" s="107">
        <f t="shared" ref="E33:E47" si="10">$AA$6*N33/$Y$2*U33</f>
        <v>1.7591434866049587E-4</v>
      </c>
      <c r="F33" s="108">
        <f t="shared" ref="F33:F47" si="11">U33*$Z$20</f>
        <v>40.391424832506218</v>
      </c>
      <c r="G33" s="109">
        <v>0</v>
      </c>
      <c r="H33" s="109">
        <v>0</v>
      </c>
      <c r="I33" s="109">
        <v>1</v>
      </c>
      <c r="J33" s="109">
        <v>0</v>
      </c>
      <c r="K33" s="109">
        <v>0</v>
      </c>
      <c r="L33" s="109">
        <v>-360</v>
      </c>
      <c r="M33" s="109">
        <v>360</v>
      </c>
      <c r="N33" s="110">
        <f t="shared" si="0"/>
        <v>3.9993303999999998</v>
      </c>
      <c r="O33" s="5" t="s">
        <v>99</v>
      </c>
      <c r="P33" s="5" t="s">
        <v>83</v>
      </c>
      <c r="Q33" s="14" t="s">
        <v>244</v>
      </c>
      <c r="R33" s="51">
        <v>22</v>
      </c>
      <c r="S33" s="103">
        <v>0</v>
      </c>
      <c r="T33" s="103">
        <f t="shared" si="1"/>
        <v>0</v>
      </c>
      <c r="U33" s="138">
        <v>2</v>
      </c>
      <c r="V33" s="112">
        <v>0.99983259999999996</v>
      </c>
      <c r="X33" s="30">
        <v>400</v>
      </c>
      <c r="Y33" s="8">
        <v>610</v>
      </c>
      <c r="Z33" s="26">
        <f t="shared" si="5"/>
        <v>69.732365512722993</v>
      </c>
      <c r="AA33" s="27">
        <v>4.7E-2</v>
      </c>
      <c r="AB33" s="8">
        <v>0.56999999999999995</v>
      </c>
      <c r="AC33" s="8">
        <f t="shared" si="6"/>
        <v>0.17898</v>
      </c>
      <c r="AD33" s="8">
        <v>0.26</v>
      </c>
      <c r="AE33" s="88">
        <f t="shared" si="7"/>
        <v>8.1639999999999998E-5</v>
      </c>
    </row>
    <row r="34" spans="1:31" x14ac:dyDescent="0.25">
      <c r="A34" s="106">
        <v>21</v>
      </c>
      <c r="B34" s="106">
        <v>23</v>
      </c>
      <c r="C34" s="107">
        <f t="shared" si="8"/>
        <v>3.6770703057851233E-2</v>
      </c>
      <c r="D34" s="107">
        <f t="shared" si="9"/>
        <v>3.9001734479338843E-2</v>
      </c>
      <c r="E34" s="107">
        <f t="shared" si="10"/>
        <v>1.7591434866049587E-4</v>
      </c>
      <c r="F34" s="108">
        <f t="shared" si="11"/>
        <v>40.391424832506218</v>
      </c>
      <c r="G34" s="109">
        <v>0</v>
      </c>
      <c r="H34" s="109">
        <v>0</v>
      </c>
      <c r="I34" s="109">
        <v>1</v>
      </c>
      <c r="J34" s="109">
        <v>0</v>
      </c>
      <c r="K34" s="109">
        <v>0</v>
      </c>
      <c r="L34" s="109">
        <v>-360</v>
      </c>
      <c r="M34" s="109">
        <v>360</v>
      </c>
      <c r="N34" s="110">
        <f t="shared" ref="N34:N57" si="12">V34*$W$2</f>
        <v>3.9993303999999998</v>
      </c>
      <c r="O34" s="5" t="s">
        <v>99</v>
      </c>
      <c r="P34" s="5" t="s">
        <v>63</v>
      </c>
      <c r="Q34" s="14" t="s">
        <v>244</v>
      </c>
      <c r="R34" s="51">
        <v>22</v>
      </c>
      <c r="S34" s="103">
        <v>0</v>
      </c>
      <c r="T34" s="103">
        <f t="shared" si="1"/>
        <v>0</v>
      </c>
      <c r="U34" s="138">
        <v>2</v>
      </c>
      <c r="V34" s="112">
        <v>0.99983259999999996</v>
      </c>
      <c r="W34" t="s">
        <v>269</v>
      </c>
      <c r="X34" s="30">
        <v>500</v>
      </c>
      <c r="Y34" s="8">
        <v>695</v>
      </c>
      <c r="Z34" s="26">
        <f t="shared" si="5"/>
        <v>79.449170543184394</v>
      </c>
      <c r="AA34" s="27">
        <v>3.6600000000000001E-2</v>
      </c>
      <c r="AB34" s="8">
        <v>0.55000000000000004</v>
      </c>
      <c r="AC34" s="8">
        <f t="shared" si="6"/>
        <v>0.17270000000000002</v>
      </c>
      <c r="AD34" s="8">
        <v>0.28999999999999998</v>
      </c>
      <c r="AE34" s="88">
        <f t="shared" si="7"/>
        <v>9.1059999999999985E-5</v>
      </c>
    </row>
    <row r="35" spans="1:31" x14ac:dyDescent="0.25">
      <c r="A35" s="6">
        <v>21</v>
      </c>
      <c r="B35" s="6">
        <v>33</v>
      </c>
      <c r="C35" s="38">
        <f t="shared" si="8"/>
        <v>1.1917636942148759E-2</v>
      </c>
      <c r="D35" s="38">
        <f t="shared" si="9"/>
        <v>1.2640729520661155E-2</v>
      </c>
      <c r="E35" s="38">
        <f t="shared" si="10"/>
        <v>1.4253761594876032E-5</v>
      </c>
      <c r="F35" s="32">
        <f t="shared" si="11"/>
        <v>20.195712416253109</v>
      </c>
      <c r="G35" s="8">
        <v>0</v>
      </c>
      <c r="H35" s="8">
        <v>0</v>
      </c>
      <c r="I35" s="8">
        <v>1</v>
      </c>
      <c r="J35" s="8">
        <v>0</v>
      </c>
      <c r="K35" s="8">
        <v>1</v>
      </c>
      <c r="L35" s="8">
        <v>-360</v>
      </c>
      <c r="M35" s="8">
        <v>360</v>
      </c>
      <c r="N35" s="112">
        <f t="shared" si="12"/>
        <v>0.64810519999999994</v>
      </c>
      <c r="O35" s="5" t="s">
        <v>99</v>
      </c>
      <c r="P35" s="5" t="s">
        <v>101</v>
      </c>
      <c r="Q35" s="14" t="s">
        <v>244</v>
      </c>
      <c r="R35" s="51">
        <v>22</v>
      </c>
      <c r="S35" s="103">
        <v>9.0157761999999995</v>
      </c>
      <c r="T35" s="103">
        <f t="shared" si="1"/>
        <v>0</v>
      </c>
      <c r="U35" s="138">
        <v>1</v>
      </c>
      <c r="V35" s="112">
        <v>0.16202629999999998</v>
      </c>
      <c r="X35" s="30">
        <v>630</v>
      </c>
      <c r="Y35" s="8">
        <v>790</v>
      </c>
      <c r="Z35" s="26">
        <f t="shared" si="5"/>
        <v>90.309129106641251</v>
      </c>
      <c r="AA35" s="27">
        <v>2.8299999999999999E-2</v>
      </c>
      <c r="AB35" s="8">
        <v>0.53</v>
      </c>
      <c r="AC35" s="8">
        <f t="shared" si="6"/>
        <v>0.16642000000000001</v>
      </c>
      <c r="AD35" s="8">
        <v>0.32</v>
      </c>
      <c r="AE35" s="88">
        <f t="shared" si="7"/>
        <v>1.0048E-4</v>
      </c>
    </row>
    <row r="36" spans="1:31" x14ac:dyDescent="0.25">
      <c r="A36" s="6">
        <v>21</v>
      </c>
      <c r="B36" s="6">
        <v>35</v>
      </c>
      <c r="C36" s="38">
        <f t="shared" si="8"/>
        <v>1.1692775867768596E-2</v>
      </c>
      <c r="D36" s="38">
        <f t="shared" si="9"/>
        <v>1.2402225190082645E-2</v>
      </c>
      <c r="E36" s="38">
        <f t="shared" si="10"/>
        <v>1.3984822696859505E-5</v>
      </c>
      <c r="F36" s="32">
        <f t="shared" si="11"/>
        <v>20.195712416253109</v>
      </c>
      <c r="G36" s="8">
        <v>0</v>
      </c>
      <c r="H36" s="8">
        <v>0</v>
      </c>
      <c r="I36" s="8">
        <v>1</v>
      </c>
      <c r="J36" s="8">
        <v>0</v>
      </c>
      <c r="K36" s="8">
        <v>1</v>
      </c>
      <c r="L36" s="8">
        <v>-360</v>
      </c>
      <c r="M36" s="8">
        <v>360</v>
      </c>
      <c r="N36" s="112">
        <f t="shared" si="12"/>
        <v>0.63587680000000002</v>
      </c>
      <c r="O36" s="5" t="s">
        <v>99</v>
      </c>
      <c r="P36" s="5" t="s">
        <v>145</v>
      </c>
      <c r="Q36" s="14" t="s">
        <v>244</v>
      </c>
      <c r="R36" s="51">
        <v>22</v>
      </c>
      <c r="S36" s="103">
        <v>12.015643000000001</v>
      </c>
      <c r="T36" s="103">
        <f t="shared" si="1"/>
        <v>0</v>
      </c>
      <c r="U36" s="138">
        <v>1</v>
      </c>
      <c r="V36" s="112">
        <v>0.1589692</v>
      </c>
      <c r="X36" s="30">
        <v>800</v>
      </c>
      <c r="Y36" s="8">
        <v>885</v>
      </c>
      <c r="Z36" s="26">
        <f t="shared" si="5"/>
        <v>101.16908767009812</v>
      </c>
      <c r="AA36" s="27">
        <v>2.2100000000000002E-2</v>
      </c>
      <c r="AB36" s="8">
        <v>0.52</v>
      </c>
      <c r="AC36" s="8">
        <f t="shared" si="6"/>
        <v>0.16328000000000001</v>
      </c>
      <c r="AD36" s="8">
        <v>0.35</v>
      </c>
      <c r="AE36" s="88">
        <f t="shared" si="7"/>
        <v>1.0989999999999999E-4</v>
      </c>
    </row>
    <row r="37" spans="1:31" x14ac:dyDescent="0.25">
      <c r="A37" s="6">
        <v>21</v>
      </c>
      <c r="B37" s="6">
        <v>30</v>
      </c>
      <c r="C37" s="38">
        <f t="shared" si="8"/>
        <v>9.9293916528925621E-3</v>
      </c>
      <c r="D37" s="38">
        <f t="shared" si="9"/>
        <v>1.0531849123966944E-2</v>
      </c>
      <c r="E37" s="38">
        <f t="shared" si="10"/>
        <v>1.18757755492562E-5</v>
      </c>
      <c r="F37" s="32">
        <f t="shared" si="11"/>
        <v>20.195712416253109</v>
      </c>
      <c r="G37" s="8">
        <v>0</v>
      </c>
      <c r="H37" s="8">
        <v>0</v>
      </c>
      <c r="I37" s="8">
        <v>1</v>
      </c>
      <c r="J37" s="8">
        <v>0</v>
      </c>
      <c r="K37" s="8">
        <v>1</v>
      </c>
      <c r="L37" s="8">
        <v>-360</v>
      </c>
      <c r="M37" s="8">
        <v>360</v>
      </c>
      <c r="N37" s="112">
        <f t="shared" si="12"/>
        <v>0.53998040000000003</v>
      </c>
      <c r="O37" s="5" t="s">
        <v>99</v>
      </c>
      <c r="P37" s="5" t="s">
        <v>107</v>
      </c>
      <c r="Q37" s="14" t="s">
        <v>244</v>
      </c>
      <c r="R37" s="51">
        <v>22</v>
      </c>
      <c r="S37" s="103">
        <v>16.024000999999998</v>
      </c>
      <c r="T37" s="103">
        <f t="shared" si="1"/>
        <v>0</v>
      </c>
      <c r="U37" s="138">
        <v>1</v>
      </c>
      <c r="V37" s="112">
        <v>0.13499510000000001</v>
      </c>
      <c r="X37" s="30">
        <v>1000</v>
      </c>
      <c r="Y37" s="8">
        <v>975</v>
      </c>
      <c r="Z37" s="26">
        <f t="shared" si="5"/>
        <v>111.45746946705725</v>
      </c>
      <c r="AA37" s="27">
        <v>1.7600000000000001E-2</v>
      </c>
      <c r="AB37" s="8">
        <v>0.5</v>
      </c>
      <c r="AC37" s="8">
        <f t="shared" si="6"/>
        <v>0.157</v>
      </c>
      <c r="AD37" s="8">
        <v>0.38</v>
      </c>
      <c r="AE37" s="88">
        <f t="shared" si="7"/>
        <v>1.1932E-4</v>
      </c>
    </row>
    <row r="38" spans="1:31" x14ac:dyDescent="0.25">
      <c r="A38" s="106">
        <v>22</v>
      </c>
      <c r="B38" s="106">
        <v>23</v>
      </c>
      <c r="C38" s="107">
        <f t="shared" si="8"/>
        <v>3.6770703057851233E-2</v>
      </c>
      <c r="D38" s="107">
        <f t="shared" si="9"/>
        <v>3.9001734479338843E-2</v>
      </c>
      <c r="E38" s="107">
        <f t="shared" si="10"/>
        <v>1.7591434866049587E-4</v>
      </c>
      <c r="F38" s="108">
        <f t="shared" si="11"/>
        <v>40.391424832506218</v>
      </c>
      <c r="G38" s="109">
        <v>0</v>
      </c>
      <c r="H38" s="109">
        <v>0</v>
      </c>
      <c r="I38" s="109">
        <v>1</v>
      </c>
      <c r="J38" s="109">
        <v>0</v>
      </c>
      <c r="K38" s="109">
        <v>0</v>
      </c>
      <c r="L38" s="109">
        <v>-360</v>
      </c>
      <c r="M38" s="109">
        <v>360</v>
      </c>
      <c r="N38" s="110">
        <f t="shared" si="12"/>
        <v>3.9993303999999998</v>
      </c>
      <c r="O38" s="5" t="s">
        <v>83</v>
      </c>
      <c r="P38" s="5" t="s">
        <v>63</v>
      </c>
      <c r="Q38" s="14" t="s">
        <v>244</v>
      </c>
      <c r="R38" s="51">
        <v>22</v>
      </c>
      <c r="S38" s="103">
        <v>0</v>
      </c>
      <c r="T38" s="103">
        <f t="shared" si="1"/>
        <v>0</v>
      </c>
      <c r="U38" s="138">
        <v>2</v>
      </c>
      <c r="V38" s="112">
        <v>0.99983259999999996</v>
      </c>
      <c r="X38" s="30">
        <v>1200</v>
      </c>
      <c r="Y38" s="8">
        <v>1130</v>
      </c>
      <c r="Z38" s="26">
        <f t="shared" si="5"/>
        <v>129.17634922848686</v>
      </c>
      <c r="AA38" s="27">
        <v>1.5100000000000001E-2</v>
      </c>
      <c r="AB38" s="8">
        <v>0.49</v>
      </c>
      <c r="AC38" s="8">
        <f t="shared" si="6"/>
        <v>0.15386</v>
      </c>
      <c r="AD38" s="8">
        <v>0.43</v>
      </c>
      <c r="AE38" s="88">
        <f t="shared" si="7"/>
        <v>1.3501999999999999E-4</v>
      </c>
    </row>
    <row r="39" spans="1:31" x14ac:dyDescent="0.25">
      <c r="A39" s="6">
        <v>22</v>
      </c>
      <c r="B39" s="6">
        <v>52</v>
      </c>
      <c r="C39" s="38">
        <f t="shared" si="8"/>
        <v>2.4640039834710744E-2</v>
      </c>
      <c r="D39" s="38">
        <f t="shared" si="9"/>
        <v>2.6135053487603307E-2</v>
      </c>
      <c r="E39" s="38">
        <f t="shared" si="10"/>
        <v>2.9470041351074384E-5</v>
      </c>
      <c r="F39" s="32">
        <f t="shared" si="11"/>
        <v>20.195712416253109</v>
      </c>
      <c r="G39" s="8">
        <v>0</v>
      </c>
      <c r="H39" s="8">
        <v>0</v>
      </c>
      <c r="I39" s="8">
        <v>1</v>
      </c>
      <c r="J39" s="8">
        <v>0</v>
      </c>
      <c r="K39" s="8">
        <v>1</v>
      </c>
      <c r="L39" s="8">
        <v>-360</v>
      </c>
      <c r="M39" s="8">
        <v>360</v>
      </c>
      <c r="N39" s="112">
        <f t="shared" si="12"/>
        <v>1.3399752</v>
      </c>
      <c r="O39" s="5" t="s">
        <v>83</v>
      </c>
      <c r="P39" s="5" t="s">
        <v>94</v>
      </c>
      <c r="Q39" s="14" t="s">
        <v>244</v>
      </c>
      <c r="R39" s="51">
        <v>22</v>
      </c>
      <c r="S39" s="103">
        <v>11.032582</v>
      </c>
      <c r="T39" s="103">
        <f t="shared" si="1"/>
        <v>0</v>
      </c>
      <c r="U39" s="138">
        <v>1</v>
      </c>
      <c r="V39" s="112">
        <v>0.33499380000000001</v>
      </c>
      <c r="W39" t="s">
        <v>271</v>
      </c>
      <c r="X39" s="30">
        <v>1600</v>
      </c>
      <c r="Y39" s="8">
        <v>1220</v>
      </c>
      <c r="Z39" s="26">
        <f t="shared" si="5"/>
        <v>139.46473102544599</v>
      </c>
      <c r="AA39" s="27">
        <v>1.1299999999999999E-2</v>
      </c>
      <c r="AB39" s="8">
        <v>0.47</v>
      </c>
      <c r="AC39" s="8">
        <f t="shared" si="6"/>
        <v>0.14757999999999999</v>
      </c>
      <c r="AD39" s="8">
        <v>0.46</v>
      </c>
      <c r="AE39" s="88">
        <f t="shared" si="7"/>
        <v>1.4443999999999999E-4</v>
      </c>
    </row>
    <row r="40" spans="1:31" x14ac:dyDescent="0.25">
      <c r="A40" s="6">
        <v>22</v>
      </c>
      <c r="B40" s="6">
        <v>46</v>
      </c>
      <c r="C40" s="38">
        <f t="shared" si="8"/>
        <v>9.0417821487603304E-3</v>
      </c>
      <c r="D40" s="38">
        <f t="shared" si="9"/>
        <v>9.5903846611570254E-3</v>
      </c>
      <c r="E40" s="38">
        <f t="shared" si="10"/>
        <v>1.0814174636033058E-5</v>
      </c>
      <c r="F40" s="32">
        <f t="shared" si="11"/>
        <v>20.195712416253109</v>
      </c>
      <c r="G40" s="8">
        <v>0</v>
      </c>
      <c r="H40" s="8">
        <v>0</v>
      </c>
      <c r="I40" s="8">
        <v>1</v>
      </c>
      <c r="J40" s="8">
        <v>0</v>
      </c>
      <c r="K40" s="8">
        <v>1</v>
      </c>
      <c r="L40" s="8">
        <v>-360</v>
      </c>
      <c r="M40" s="8">
        <v>360</v>
      </c>
      <c r="N40" s="112">
        <f t="shared" si="12"/>
        <v>0.49171039999999999</v>
      </c>
      <c r="O40" s="5" t="s">
        <v>83</v>
      </c>
      <c r="P40" s="5" t="s">
        <v>84</v>
      </c>
      <c r="Q40" s="14" t="s">
        <v>244</v>
      </c>
      <c r="R40" s="51">
        <v>22</v>
      </c>
      <c r="S40" s="103">
        <v>7.0036939</v>
      </c>
      <c r="T40" s="103">
        <f t="shared" si="1"/>
        <v>0</v>
      </c>
      <c r="U40" s="138">
        <v>1</v>
      </c>
      <c r="V40" s="112">
        <v>0.1229276</v>
      </c>
      <c r="X40" s="34">
        <v>2000</v>
      </c>
      <c r="Y40" s="14">
        <v>1300</v>
      </c>
      <c r="Z40" s="47">
        <f t="shared" si="5"/>
        <v>148.60995928940966</v>
      </c>
      <c r="AA40" s="48">
        <v>8.9999999999999993E-3</v>
      </c>
      <c r="AB40" s="14">
        <v>0.47</v>
      </c>
      <c r="AC40" s="14">
        <f t="shared" si="6"/>
        <v>0.14757999999999999</v>
      </c>
      <c r="AD40" s="14">
        <v>0.49</v>
      </c>
      <c r="AE40" s="89">
        <f t="shared" si="7"/>
        <v>1.5385999999999997E-4</v>
      </c>
    </row>
    <row r="41" spans="1:31" x14ac:dyDescent="0.25">
      <c r="A41" s="6">
        <v>22</v>
      </c>
      <c r="B41" s="6">
        <v>58</v>
      </c>
      <c r="C41" s="38">
        <f t="shared" si="8"/>
        <v>8.6038947933884304E-3</v>
      </c>
      <c r="D41" s="38">
        <f t="shared" si="9"/>
        <v>9.1259288595041312E-3</v>
      </c>
      <c r="E41" s="38">
        <f t="shared" si="10"/>
        <v>1.0290451518842976E-5</v>
      </c>
      <c r="F41" s="32">
        <f t="shared" si="11"/>
        <v>20.195712416253109</v>
      </c>
      <c r="G41" s="8">
        <v>0</v>
      </c>
      <c r="H41" s="8">
        <v>0</v>
      </c>
      <c r="I41" s="8">
        <v>1</v>
      </c>
      <c r="J41" s="8">
        <v>0</v>
      </c>
      <c r="K41" s="8">
        <v>1</v>
      </c>
      <c r="L41" s="8">
        <v>-360</v>
      </c>
      <c r="M41" s="8">
        <v>360</v>
      </c>
      <c r="N41" s="112">
        <f t="shared" si="12"/>
        <v>0.46789720000000001</v>
      </c>
      <c r="O41" s="5" t="s">
        <v>83</v>
      </c>
      <c r="P41" s="5" t="s">
        <v>81</v>
      </c>
      <c r="Q41" s="14" t="s">
        <v>244</v>
      </c>
      <c r="R41" s="51">
        <v>22</v>
      </c>
      <c r="S41" s="103">
        <v>3.0007476</v>
      </c>
      <c r="T41" s="103">
        <f t="shared" si="1"/>
        <v>0</v>
      </c>
      <c r="U41" s="138">
        <v>1</v>
      </c>
      <c r="V41" s="112">
        <v>0.1169743</v>
      </c>
      <c r="X41" s="30">
        <v>2500</v>
      </c>
      <c r="Y41" s="8">
        <v>1425</v>
      </c>
      <c r="Z41" s="26">
        <f t="shared" si="5"/>
        <v>162.8993784518529</v>
      </c>
      <c r="AA41" s="27">
        <v>7.1999999999999998E-3</v>
      </c>
      <c r="AB41" s="8">
        <v>0.45</v>
      </c>
      <c r="AC41" s="8">
        <f t="shared" si="6"/>
        <v>0.14130000000000001</v>
      </c>
      <c r="AD41" s="8">
        <v>0.52</v>
      </c>
      <c r="AE41" s="88">
        <f t="shared" si="7"/>
        <v>1.6328E-4</v>
      </c>
    </row>
    <row r="42" spans="1:31" x14ac:dyDescent="0.25">
      <c r="A42" s="106">
        <v>23</v>
      </c>
      <c r="B42" s="106">
        <v>25</v>
      </c>
      <c r="C42" s="107">
        <f t="shared" si="8"/>
        <v>3.6770703057851233E-2</v>
      </c>
      <c r="D42" s="107">
        <f t="shared" si="9"/>
        <v>3.9001734479338843E-2</v>
      </c>
      <c r="E42" s="107">
        <f t="shared" si="10"/>
        <v>1.7591434866049587E-4</v>
      </c>
      <c r="F42" s="108">
        <f t="shared" si="11"/>
        <v>40.391424832506218</v>
      </c>
      <c r="G42" s="109">
        <v>0</v>
      </c>
      <c r="H42" s="109">
        <v>0</v>
      </c>
      <c r="I42" s="109">
        <v>1</v>
      </c>
      <c r="J42" s="109">
        <v>0</v>
      </c>
      <c r="K42" s="109">
        <v>0</v>
      </c>
      <c r="L42" s="109">
        <v>-360</v>
      </c>
      <c r="M42" s="109">
        <v>360</v>
      </c>
      <c r="N42" s="110">
        <f t="shared" si="12"/>
        <v>3.9993303999999998</v>
      </c>
      <c r="O42" s="5" t="s">
        <v>63</v>
      </c>
      <c r="P42" s="5" t="s">
        <v>122</v>
      </c>
      <c r="Q42" s="14" t="s">
        <v>244</v>
      </c>
      <c r="R42" s="51">
        <v>22</v>
      </c>
      <c r="S42" s="103">
        <v>0</v>
      </c>
      <c r="T42" s="103">
        <f t="shared" si="1"/>
        <v>0</v>
      </c>
      <c r="U42" s="138">
        <v>2</v>
      </c>
      <c r="V42" s="112">
        <v>0.99983259999999996</v>
      </c>
      <c r="Z42" s="17"/>
      <c r="AA42" s="18"/>
    </row>
    <row r="43" spans="1:31" x14ac:dyDescent="0.25">
      <c r="A43" s="106">
        <v>23</v>
      </c>
      <c r="B43" s="106">
        <v>24</v>
      </c>
      <c r="C43" s="107">
        <f t="shared" si="8"/>
        <v>3.6770703057851233E-2</v>
      </c>
      <c r="D43" s="107">
        <f t="shared" si="9"/>
        <v>3.9001734479338843E-2</v>
      </c>
      <c r="E43" s="107">
        <f t="shared" si="10"/>
        <v>1.7591434866049587E-4</v>
      </c>
      <c r="F43" s="108">
        <f t="shared" si="11"/>
        <v>40.391424832506218</v>
      </c>
      <c r="G43" s="109">
        <v>0</v>
      </c>
      <c r="H43" s="109">
        <v>0</v>
      </c>
      <c r="I43" s="109">
        <v>1</v>
      </c>
      <c r="J43" s="109">
        <v>0</v>
      </c>
      <c r="K43" s="109">
        <v>0</v>
      </c>
      <c r="L43" s="109">
        <v>-360</v>
      </c>
      <c r="M43" s="109">
        <v>360</v>
      </c>
      <c r="N43" s="110">
        <f t="shared" si="12"/>
        <v>3.9993303999999998</v>
      </c>
      <c r="O43" s="5" t="s">
        <v>63</v>
      </c>
      <c r="P43" s="5" t="s">
        <v>80</v>
      </c>
      <c r="Q43" s="14" t="s">
        <v>244</v>
      </c>
      <c r="R43" s="51">
        <v>22</v>
      </c>
      <c r="S43" s="103">
        <v>0</v>
      </c>
      <c r="T43" s="103">
        <f t="shared" si="1"/>
        <v>0</v>
      </c>
      <c r="U43" s="138">
        <v>2</v>
      </c>
      <c r="V43" s="112">
        <v>0.99983259999999996</v>
      </c>
      <c r="Z43" s="17"/>
      <c r="AA43" s="18"/>
    </row>
    <row r="44" spans="1:31" x14ac:dyDescent="0.25">
      <c r="A44" s="6">
        <v>23</v>
      </c>
      <c r="B44" s="6">
        <v>68</v>
      </c>
      <c r="C44" s="38">
        <f t="shared" si="8"/>
        <v>1.7207789586776861E-2</v>
      </c>
      <c r="D44" s="38">
        <f t="shared" si="9"/>
        <v>1.8251857719008262E-2</v>
      </c>
      <c r="E44" s="38">
        <f t="shared" si="10"/>
        <v>2.0580903037685952E-5</v>
      </c>
      <c r="F44" s="32">
        <f t="shared" si="11"/>
        <v>20.195712416253109</v>
      </c>
      <c r="G44" s="8">
        <v>0</v>
      </c>
      <c r="H44" s="8">
        <v>0</v>
      </c>
      <c r="I44" s="8">
        <v>1</v>
      </c>
      <c r="J44" s="8">
        <v>0</v>
      </c>
      <c r="K44" s="8">
        <v>1</v>
      </c>
      <c r="L44" s="8">
        <v>-360</v>
      </c>
      <c r="M44" s="8">
        <v>360</v>
      </c>
      <c r="N44" s="112">
        <f t="shared" si="12"/>
        <v>0.93579440000000003</v>
      </c>
      <c r="O44" s="5" t="s">
        <v>63</v>
      </c>
      <c r="P44" s="5" t="s">
        <v>73</v>
      </c>
      <c r="Q44" s="14" t="s">
        <v>244</v>
      </c>
      <c r="R44" s="51">
        <v>22</v>
      </c>
      <c r="S44" s="103">
        <v>14.099638000000001</v>
      </c>
      <c r="T44" s="103">
        <f t="shared" si="1"/>
        <v>0</v>
      </c>
      <c r="U44" s="138">
        <v>1</v>
      </c>
      <c r="V44" s="112">
        <v>0.23394860000000001</v>
      </c>
      <c r="X44" s="15" t="s">
        <v>258</v>
      </c>
      <c r="Y44" s="16"/>
      <c r="Z44" s="17"/>
      <c r="AA44" s="18"/>
    </row>
    <row r="45" spans="1:31" x14ac:dyDescent="0.25">
      <c r="A45" s="6">
        <v>23</v>
      </c>
      <c r="B45" s="6">
        <v>78</v>
      </c>
      <c r="C45" s="38">
        <f t="shared" si="8"/>
        <v>1.6320180082644627E-2</v>
      </c>
      <c r="D45" s="38">
        <f t="shared" si="9"/>
        <v>1.7310393256198344E-2</v>
      </c>
      <c r="E45" s="38">
        <f t="shared" si="10"/>
        <v>1.9519302124462811E-5</v>
      </c>
      <c r="F45" s="32">
        <f t="shared" si="11"/>
        <v>20.195712416253109</v>
      </c>
      <c r="G45" s="8">
        <v>0</v>
      </c>
      <c r="H45" s="8">
        <v>0</v>
      </c>
      <c r="I45" s="8">
        <v>1</v>
      </c>
      <c r="J45" s="8">
        <v>0</v>
      </c>
      <c r="K45" s="8">
        <v>1</v>
      </c>
      <c r="L45" s="8">
        <v>-360</v>
      </c>
      <c r="M45" s="8">
        <v>360</v>
      </c>
      <c r="N45" s="112">
        <f t="shared" si="12"/>
        <v>0.88752439999999999</v>
      </c>
      <c r="O45" s="5" t="s">
        <v>63</v>
      </c>
      <c r="P45" s="5" t="s">
        <v>65</v>
      </c>
      <c r="Q45" s="14" t="s">
        <v>244</v>
      </c>
      <c r="R45" s="51">
        <v>22</v>
      </c>
      <c r="S45" s="103">
        <v>5.0049875000000004</v>
      </c>
      <c r="T45" s="103">
        <f t="shared" si="1"/>
        <v>0</v>
      </c>
      <c r="U45" s="138">
        <v>1</v>
      </c>
      <c r="V45" s="112">
        <v>0.2218811</v>
      </c>
      <c r="X45" s="19">
        <v>230</v>
      </c>
      <c r="Y45" s="20"/>
      <c r="Z45" s="21"/>
      <c r="AA45" s="22"/>
      <c r="AB45" s="2"/>
      <c r="AC45" s="2"/>
      <c r="AD45" s="2"/>
    </row>
    <row r="46" spans="1:31" ht="15.75" customHeight="1" x14ac:dyDescent="0.25">
      <c r="A46" s="6">
        <v>23</v>
      </c>
      <c r="B46" s="6">
        <v>72</v>
      </c>
      <c r="C46" s="38">
        <f t="shared" si="8"/>
        <v>1.3681021157024794E-2</v>
      </c>
      <c r="D46" s="38">
        <f t="shared" si="9"/>
        <v>1.4511105586776858E-2</v>
      </c>
      <c r="E46" s="38">
        <f t="shared" si="10"/>
        <v>1.6362808742479338E-5</v>
      </c>
      <c r="F46" s="32">
        <f t="shared" si="11"/>
        <v>20.195712416253109</v>
      </c>
      <c r="G46" s="8">
        <v>0</v>
      </c>
      <c r="H46" s="8">
        <v>0</v>
      </c>
      <c r="I46" s="8">
        <v>1</v>
      </c>
      <c r="J46" s="8">
        <v>0</v>
      </c>
      <c r="K46" s="8">
        <v>1</v>
      </c>
      <c r="L46" s="8">
        <v>-360</v>
      </c>
      <c r="M46" s="8">
        <v>360</v>
      </c>
      <c r="N46" s="112">
        <f t="shared" si="12"/>
        <v>0.74400159999999993</v>
      </c>
      <c r="O46" s="5" t="s">
        <v>63</v>
      </c>
      <c r="P46" s="5" t="s">
        <v>70</v>
      </c>
      <c r="Q46" s="14" t="s">
        <v>244</v>
      </c>
      <c r="R46" s="51">
        <v>22</v>
      </c>
      <c r="S46" s="103">
        <v>15.075373000000001</v>
      </c>
      <c r="T46" s="103">
        <f t="shared" si="1"/>
        <v>0</v>
      </c>
      <c r="U46" s="138">
        <v>1</v>
      </c>
      <c r="V46" s="112">
        <v>0.18600039999999998</v>
      </c>
      <c r="X46" s="23" t="s">
        <v>248</v>
      </c>
      <c r="Y46" s="23" t="s">
        <v>255</v>
      </c>
      <c r="Z46" s="24" t="s">
        <v>250</v>
      </c>
      <c r="AA46" s="23" t="s">
        <v>256</v>
      </c>
      <c r="AB46" s="25" t="s">
        <v>257</v>
      </c>
      <c r="AC46" s="25" t="s">
        <v>252</v>
      </c>
      <c r="AD46" s="23" t="s">
        <v>253</v>
      </c>
      <c r="AE46" s="31" t="s">
        <v>911</v>
      </c>
    </row>
    <row r="47" spans="1:31" x14ac:dyDescent="0.25">
      <c r="A47" s="6">
        <v>23</v>
      </c>
      <c r="B47" s="6">
        <v>66</v>
      </c>
      <c r="C47" s="38">
        <f t="shared" si="8"/>
        <v>6.1067533884297514E-3</v>
      </c>
      <c r="D47" s="38">
        <f t="shared" si="9"/>
        <v>6.477275504132231E-3</v>
      </c>
      <c r="E47" s="38">
        <f t="shared" si="10"/>
        <v>7.3038142829752062E-6</v>
      </c>
      <c r="F47" s="32">
        <f t="shared" si="11"/>
        <v>20.195712416253109</v>
      </c>
      <c r="G47" s="8">
        <v>0</v>
      </c>
      <c r="H47" s="8">
        <v>0</v>
      </c>
      <c r="I47" s="8">
        <v>1</v>
      </c>
      <c r="J47" s="8">
        <v>0</v>
      </c>
      <c r="K47" s="8">
        <v>1</v>
      </c>
      <c r="L47" s="8">
        <v>-360</v>
      </c>
      <c r="M47" s="8">
        <v>360</v>
      </c>
      <c r="N47" s="112">
        <f t="shared" si="12"/>
        <v>0.33209759999999999</v>
      </c>
      <c r="O47" s="5" t="s">
        <v>63</v>
      </c>
      <c r="P47" s="5" t="s">
        <v>64</v>
      </c>
      <c r="Q47" s="14" t="s">
        <v>244</v>
      </c>
      <c r="R47" s="51">
        <v>22</v>
      </c>
      <c r="S47" s="103">
        <v>6.0039043000000003</v>
      </c>
      <c r="T47" s="103">
        <f t="shared" si="1"/>
        <v>0</v>
      </c>
      <c r="U47" s="138">
        <v>1</v>
      </c>
      <c r="V47" s="112">
        <v>8.3024399999999998E-2</v>
      </c>
      <c r="X47" s="30">
        <v>500</v>
      </c>
      <c r="Y47" s="8">
        <v>685</v>
      </c>
      <c r="Z47" s="26">
        <f t="shared" ref="Z47:Z55" si="13">SQRT(3)*$X$45*Y47/1000</f>
        <v>272.88460473247665</v>
      </c>
      <c r="AA47" s="27">
        <v>4.7E-2</v>
      </c>
      <c r="AB47" s="8">
        <v>0.6</v>
      </c>
      <c r="AC47" s="8">
        <f>2*3.14*50*AB47*0.001</f>
        <v>0.18840000000000001</v>
      </c>
      <c r="AD47" s="8">
        <v>0.14000000000000001</v>
      </c>
      <c r="AE47" s="88">
        <f>2*3.14*50*AD47*0.000001</f>
        <v>4.3959999999999999E-5</v>
      </c>
    </row>
    <row r="48" spans="1:31" x14ac:dyDescent="0.25">
      <c r="A48" s="65">
        <v>15</v>
      </c>
      <c r="B48" s="65">
        <v>84</v>
      </c>
      <c r="C48" s="124">
        <f t="shared" ref="C48" si="14">$Y$7*N48/$Z$2/U48</f>
        <v>7.9944694214876026E-4</v>
      </c>
      <c r="D48" s="124">
        <f t="shared" ref="D48:D49" si="15">$Z$7*N48/$Z$2/U48</f>
        <v>1.3109153302479337E-2</v>
      </c>
      <c r="E48" s="124">
        <f t="shared" ref="E48:E49" si="16">$AA$7*N48/$Z$2*U48</f>
        <v>5.4667958452892543E-5</v>
      </c>
      <c r="F48" s="67">
        <f>U48*$Z$40</f>
        <v>297.21991857881932</v>
      </c>
      <c r="G48" s="68">
        <v>0</v>
      </c>
      <c r="H48" s="68">
        <v>0</v>
      </c>
      <c r="I48" s="68">
        <v>1</v>
      </c>
      <c r="J48" s="68">
        <v>0</v>
      </c>
      <c r="K48" s="68">
        <v>1</v>
      </c>
      <c r="L48" s="68">
        <v>-360</v>
      </c>
      <c r="M48" s="68">
        <v>360</v>
      </c>
      <c r="N48" s="69">
        <f t="shared" si="12"/>
        <v>7.7386463999999995</v>
      </c>
      <c r="O48" s="5" t="s">
        <v>56</v>
      </c>
      <c r="P48" s="5" t="s">
        <v>155</v>
      </c>
      <c r="Q48" s="14" t="s">
        <v>244</v>
      </c>
      <c r="R48" s="49">
        <v>66</v>
      </c>
      <c r="S48" s="103">
        <v>61.125641999999999</v>
      </c>
      <c r="T48" s="103">
        <f t="shared" si="1"/>
        <v>0</v>
      </c>
      <c r="U48" s="138">
        <v>2</v>
      </c>
      <c r="V48" s="112">
        <v>1.9346615999999999</v>
      </c>
      <c r="X48" s="30">
        <v>630</v>
      </c>
      <c r="Y48" s="8">
        <v>780</v>
      </c>
      <c r="Z48" s="26">
        <f t="shared" si="13"/>
        <v>310.72991487785657</v>
      </c>
      <c r="AA48" s="27">
        <v>3.6600000000000001E-2</v>
      </c>
      <c r="AB48" s="8">
        <v>0.57999999999999996</v>
      </c>
      <c r="AC48" s="8">
        <f t="shared" ref="AC48:AC55" si="17">2*3.14*50*AB48*0.001</f>
        <v>0.18211999999999998</v>
      </c>
      <c r="AD48" s="8">
        <v>0.16</v>
      </c>
      <c r="AE48" s="88">
        <f t="shared" ref="AE48:AE55" si="18">2*3.14*50*AD48*0.000001</f>
        <v>5.024E-5</v>
      </c>
    </row>
    <row r="49" spans="1:31" x14ac:dyDescent="0.25">
      <c r="A49" s="65">
        <v>84</v>
      </c>
      <c r="B49" s="65">
        <v>88</v>
      </c>
      <c r="C49" s="124">
        <f>$Y$7*N49/$Z$2/U49</f>
        <v>8.5689223140495861E-4</v>
      </c>
      <c r="D49" s="124">
        <f t="shared" si="15"/>
        <v>1.4051128390082643E-2</v>
      </c>
      <c r="E49" s="124">
        <f t="shared" si="16"/>
        <v>1.4649048747107435E-5</v>
      </c>
      <c r="F49" s="67">
        <f>U49*$Z$40</f>
        <v>148.60995928940966</v>
      </c>
      <c r="G49" s="68">
        <v>0</v>
      </c>
      <c r="H49" s="68">
        <v>0</v>
      </c>
      <c r="I49" s="68">
        <v>1</v>
      </c>
      <c r="J49" s="68">
        <v>0</v>
      </c>
      <c r="K49" s="68">
        <v>1</v>
      </c>
      <c r="L49" s="68">
        <v>-360</v>
      </c>
      <c r="M49" s="68">
        <v>360</v>
      </c>
      <c r="N49" s="69">
        <f t="shared" si="12"/>
        <v>4.1473583999999999</v>
      </c>
      <c r="O49" s="5" t="s">
        <v>155</v>
      </c>
      <c r="P49" s="5" t="s">
        <v>92</v>
      </c>
      <c r="Q49" s="14" t="s">
        <v>244</v>
      </c>
      <c r="R49" s="49">
        <v>66</v>
      </c>
      <c r="S49" s="103">
        <v>36.011029999999998</v>
      </c>
      <c r="T49" s="103">
        <f t="shared" si="1"/>
        <v>0</v>
      </c>
      <c r="U49" s="138">
        <v>1</v>
      </c>
      <c r="V49" s="112">
        <v>1.0368396</v>
      </c>
      <c r="X49" s="30">
        <v>800</v>
      </c>
      <c r="Y49" s="8">
        <v>870</v>
      </c>
      <c r="Z49" s="26">
        <f t="shared" si="13"/>
        <v>346.58336659453232</v>
      </c>
      <c r="AA49" s="27">
        <v>2.8299999999999999E-2</v>
      </c>
      <c r="AB49" s="8">
        <v>0.56000000000000005</v>
      </c>
      <c r="AC49" s="8">
        <f t="shared" si="17"/>
        <v>0.17584</v>
      </c>
      <c r="AD49" s="8">
        <v>0.17</v>
      </c>
      <c r="AE49" s="88">
        <f t="shared" si="18"/>
        <v>5.3380000000000001E-5</v>
      </c>
    </row>
    <row r="50" spans="1:31" x14ac:dyDescent="0.25">
      <c r="A50" s="6">
        <v>24</v>
      </c>
      <c r="B50" s="6">
        <v>82</v>
      </c>
      <c r="C50" s="38">
        <f>$Y$6*N50/$Y$2/U50</f>
        <v>6.404990181818182E-2</v>
      </c>
      <c r="D50" s="38">
        <f>$Z$6*N50/$Y$2/U50</f>
        <v>6.7936075636363627E-2</v>
      </c>
      <c r="E50" s="38">
        <f>$AA$6*N50/$Y$2*U50</f>
        <v>7.6605121898181818E-5</v>
      </c>
      <c r="F50" s="32">
        <f>U50*$Z$20</f>
        <v>20.195712416253109</v>
      </c>
      <c r="G50" s="8">
        <v>0</v>
      </c>
      <c r="H50" s="8">
        <v>0</v>
      </c>
      <c r="I50" s="8">
        <v>1</v>
      </c>
      <c r="J50" s="8">
        <v>0</v>
      </c>
      <c r="K50" s="8">
        <v>1</v>
      </c>
      <c r="L50" s="8">
        <v>-360</v>
      </c>
      <c r="M50" s="8">
        <v>360</v>
      </c>
      <c r="N50" s="112">
        <f t="shared" si="12"/>
        <v>3.4831631999999999</v>
      </c>
      <c r="O50" s="5" t="s">
        <v>80</v>
      </c>
      <c r="P50" s="5" t="s">
        <v>81</v>
      </c>
      <c r="Q50" s="14" t="s">
        <v>244</v>
      </c>
      <c r="R50" s="51">
        <v>22</v>
      </c>
      <c r="S50" s="103">
        <v>6.0227949000000001</v>
      </c>
      <c r="T50" s="103">
        <f t="shared" si="1"/>
        <v>0</v>
      </c>
      <c r="U50" s="138">
        <v>1</v>
      </c>
      <c r="V50" s="112">
        <v>0.87079079999999998</v>
      </c>
      <c r="X50" s="30">
        <v>1000</v>
      </c>
      <c r="Y50" s="8">
        <v>960</v>
      </c>
      <c r="Z50" s="26">
        <f t="shared" si="13"/>
        <v>382.43681831120813</v>
      </c>
      <c r="AA50" s="27">
        <v>2.2100000000000002E-2</v>
      </c>
      <c r="AB50" s="8">
        <v>0.54</v>
      </c>
      <c r="AC50" s="8">
        <f t="shared" si="17"/>
        <v>0.16956000000000002</v>
      </c>
      <c r="AD50" s="8">
        <v>0.19</v>
      </c>
      <c r="AE50" s="88">
        <f t="shared" si="18"/>
        <v>5.9660000000000001E-5</v>
      </c>
    </row>
    <row r="51" spans="1:31" x14ac:dyDescent="0.25">
      <c r="A51" s="106">
        <v>25</v>
      </c>
      <c r="B51" s="106">
        <v>27</v>
      </c>
      <c r="C51" s="107">
        <f>$Y$6*N51/$Y$2/U51</f>
        <v>3.6770703057851233E-2</v>
      </c>
      <c r="D51" s="107">
        <f>$Z$6*N51/$Y$2/U51</f>
        <v>3.9001734479338843E-2</v>
      </c>
      <c r="E51" s="107">
        <f>$AA$6*N51/$Y$2*U51</f>
        <v>1.7591434866049587E-4</v>
      </c>
      <c r="F51" s="108">
        <f>U51*$Z$20</f>
        <v>40.391424832506218</v>
      </c>
      <c r="G51" s="109">
        <v>0</v>
      </c>
      <c r="H51" s="109">
        <v>0</v>
      </c>
      <c r="I51" s="109">
        <v>1</v>
      </c>
      <c r="J51" s="109">
        <v>0</v>
      </c>
      <c r="K51" s="109">
        <v>0</v>
      </c>
      <c r="L51" s="109">
        <v>-360</v>
      </c>
      <c r="M51" s="109">
        <v>360</v>
      </c>
      <c r="N51" s="110">
        <f t="shared" si="12"/>
        <v>3.9993303999999998</v>
      </c>
      <c r="O51" s="5" t="s">
        <v>122</v>
      </c>
      <c r="P51" s="5" t="s">
        <v>115</v>
      </c>
      <c r="Q51" s="14" t="s">
        <v>244</v>
      </c>
      <c r="R51" s="51">
        <v>22</v>
      </c>
      <c r="S51" s="103">
        <v>0</v>
      </c>
      <c r="T51" s="103">
        <f t="shared" si="1"/>
        <v>0</v>
      </c>
      <c r="U51" s="138">
        <v>2</v>
      </c>
      <c r="V51" s="112">
        <v>0.99983259999999996</v>
      </c>
      <c r="X51" s="30">
        <v>1200</v>
      </c>
      <c r="Y51" s="8">
        <v>1115</v>
      </c>
      <c r="Z51" s="26">
        <f t="shared" si="13"/>
        <v>444.18442960103857</v>
      </c>
      <c r="AA51" s="27">
        <v>1.7600000000000001E-2</v>
      </c>
      <c r="AB51" s="8">
        <v>0.52</v>
      </c>
      <c r="AC51" s="8">
        <f t="shared" si="17"/>
        <v>0.16328000000000001</v>
      </c>
      <c r="AD51" s="8">
        <v>0.21</v>
      </c>
      <c r="AE51" s="88">
        <f t="shared" si="18"/>
        <v>6.5939999999999995E-5</v>
      </c>
    </row>
    <row r="52" spans="1:31" x14ac:dyDescent="0.25">
      <c r="A52" s="106">
        <v>25</v>
      </c>
      <c r="B52" s="106">
        <v>26</v>
      </c>
      <c r="C52" s="107">
        <f>$Y$6*N52/$Y$2/U52</f>
        <v>3.6770703057851233E-2</v>
      </c>
      <c r="D52" s="107">
        <f>$Z$6*N52/$Y$2/U52</f>
        <v>3.9001734479338843E-2</v>
      </c>
      <c r="E52" s="107">
        <f>$AA$6*N52/$Y$2*U52</f>
        <v>1.7591434866049587E-4</v>
      </c>
      <c r="F52" s="108">
        <f>U52*$Z$20</f>
        <v>40.391424832506218</v>
      </c>
      <c r="G52" s="109">
        <v>0</v>
      </c>
      <c r="H52" s="109">
        <v>0</v>
      </c>
      <c r="I52" s="109">
        <v>1</v>
      </c>
      <c r="J52" s="109">
        <v>0</v>
      </c>
      <c r="K52" s="109">
        <v>0</v>
      </c>
      <c r="L52" s="109">
        <v>-360</v>
      </c>
      <c r="M52" s="109">
        <v>360</v>
      </c>
      <c r="N52" s="110">
        <f t="shared" si="12"/>
        <v>3.9993303999999998</v>
      </c>
      <c r="O52" s="5" t="s">
        <v>122</v>
      </c>
      <c r="P52" s="5" t="s">
        <v>93</v>
      </c>
      <c r="Q52" s="14" t="s">
        <v>244</v>
      </c>
      <c r="R52" s="51">
        <v>22</v>
      </c>
      <c r="S52" s="103">
        <v>0</v>
      </c>
      <c r="T52" s="103">
        <f t="shared" si="1"/>
        <v>0</v>
      </c>
      <c r="U52" s="138">
        <v>2</v>
      </c>
      <c r="V52" s="112">
        <v>0.99983259999999996</v>
      </c>
      <c r="X52" s="30">
        <v>1400</v>
      </c>
      <c r="Y52" s="8">
        <v>1205</v>
      </c>
      <c r="Z52" s="26">
        <f t="shared" si="13"/>
        <v>480.03788131771432</v>
      </c>
      <c r="AA52" s="27">
        <v>1.5100000000000001E-2</v>
      </c>
      <c r="AB52" s="7">
        <v>0.51</v>
      </c>
      <c r="AC52" s="8">
        <f t="shared" si="17"/>
        <v>0.16014</v>
      </c>
      <c r="AD52" s="8">
        <v>0.22</v>
      </c>
      <c r="AE52" s="88">
        <f t="shared" si="18"/>
        <v>6.9079999999999996E-5</v>
      </c>
    </row>
    <row r="53" spans="1:31" x14ac:dyDescent="0.25">
      <c r="A53" s="65">
        <v>7</v>
      </c>
      <c r="B53" s="65">
        <v>93</v>
      </c>
      <c r="C53" s="124">
        <f t="shared" ref="C53" si="19">$Y$7*N53/$Z$2/U53</f>
        <v>8.5104132231404947E-5</v>
      </c>
      <c r="D53" s="124">
        <f t="shared" ref="D53" si="20">$Z$7*N53/$Z$2/U53</f>
        <v>1.3955186483011934E-3</v>
      </c>
      <c r="E53" s="124">
        <f t="shared" ref="E53" si="21">$AA$7*N53/$Z$2*U53</f>
        <v>1.3094121785123961E-5</v>
      </c>
      <c r="F53" s="67">
        <f>U53*$Z$54</f>
        <v>1685.1122306837608</v>
      </c>
      <c r="G53" s="68">
        <v>0</v>
      </c>
      <c r="H53" s="68">
        <v>0</v>
      </c>
      <c r="I53" s="68">
        <v>1</v>
      </c>
      <c r="J53" s="68">
        <v>0</v>
      </c>
      <c r="K53" s="68">
        <v>1</v>
      </c>
      <c r="L53" s="68">
        <v>-360</v>
      </c>
      <c r="M53" s="68">
        <v>360</v>
      </c>
      <c r="N53" s="69">
        <f t="shared" si="12"/>
        <v>1.2357119999999999</v>
      </c>
      <c r="O53" s="5" t="s">
        <v>49</v>
      </c>
      <c r="P53" s="5" t="s">
        <v>184</v>
      </c>
      <c r="Q53" s="14" t="s">
        <v>244</v>
      </c>
      <c r="R53" s="50">
        <v>230</v>
      </c>
      <c r="S53" s="103">
        <v>984.59096999999997</v>
      </c>
      <c r="T53" s="103">
        <f t="shared" si="1"/>
        <v>0</v>
      </c>
      <c r="U53" s="138">
        <v>3</v>
      </c>
      <c r="V53" s="112">
        <v>0.30892799999999998</v>
      </c>
      <c r="X53" s="30">
        <v>1600</v>
      </c>
      <c r="Y53" s="8">
        <v>1280</v>
      </c>
      <c r="Z53" s="26">
        <f t="shared" si="13"/>
        <v>509.91575774827743</v>
      </c>
      <c r="AA53" s="27">
        <v>1.1299999999999999E-2</v>
      </c>
      <c r="AB53" s="8">
        <v>0.5</v>
      </c>
      <c r="AC53" s="8">
        <f t="shared" si="17"/>
        <v>0.157</v>
      </c>
      <c r="AD53" s="8">
        <v>0.23</v>
      </c>
      <c r="AE53" s="88">
        <f t="shared" si="18"/>
        <v>7.2219999999999996E-5</v>
      </c>
    </row>
    <row r="54" spans="1:31" x14ac:dyDescent="0.25">
      <c r="A54" s="6">
        <v>25</v>
      </c>
      <c r="B54" s="6">
        <v>97</v>
      </c>
      <c r="C54" s="38">
        <f>$Y$6*N54/$Y$2/U54</f>
        <v>5.4400600275482094E-3</v>
      </c>
      <c r="D54" s="38">
        <f>$Z$6*N54/$Y$2/U54</f>
        <v>5.7701310853994483E-3</v>
      </c>
      <c r="E54" s="38">
        <f>$AA$6*N54/$Y$2*U54</f>
        <v>5.8557906373388434E-5</v>
      </c>
      <c r="F54" s="32">
        <f>U54*$Z$20</f>
        <v>60.587137248759326</v>
      </c>
      <c r="G54" s="8">
        <v>0</v>
      </c>
      <c r="H54" s="8">
        <v>0</v>
      </c>
      <c r="I54" s="8">
        <v>1</v>
      </c>
      <c r="J54" s="8">
        <v>0</v>
      </c>
      <c r="K54" s="8">
        <v>1</v>
      </c>
      <c r="L54" s="8">
        <v>-360</v>
      </c>
      <c r="M54" s="8">
        <v>360</v>
      </c>
      <c r="N54" s="112">
        <f t="shared" si="12"/>
        <v>0.88752439999999999</v>
      </c>
      <c r="O54" s="5" t="s">
        <v>122</v>
      </c>
      <c r="P54" s="5" t="s">
        <v>133</v>
      </c>
      <c r="Q54" s="14" t="s">
        <v>244</v>
      </c>
      <c r="R54" s="51">
        <v>22</v>
      </c>
      <c r="S54" s="103">
        <v>32.235458999999999</v>
      </c>
      <c r="T54" s="103">
        <f t="shared" si="1"/>
        <v>0</v>
      </c>
      <c r="U54" s="138">
        <v>3</v>
      </c>
      <c r="V54" s="112">
        <v>0.2218811</v>
      </c>
      <c r="X54" s="34">
        <v>2000</v>
      </c>
      <c r="Y54" s="14">
        <v>1410</v>
      </c>
      <c r="Z54" s="47">
        <f t="shared" si="13"/>
        <v>561.70407689458693</v>
      </c>
      <c r="AA54" s="48">
        <v>8.9999999999999993E-3</v>
      </c>
      <c r="AB54" s="14">
        <v>0.49</v>
      </c>
      <c r="AC54" s="14">
        <f t="shared" si="17"/>
        <v>0.15386</v>
      </c>
      <c r="AD54" s="14">
        <v>0.24</v>
      </c>
      <c r="AE54" s="89">
        <f t="shared" si="18"/>
        <v>7.5359999999999997E-5</v>
      </c>
    </row>
    <row r="55" spans="1:31" x14ac:dyDescent="0.25">
      <c r="A55" s="6">
        <v>26</v>
      </c>
      <c r="B55" s="6">
        <v>103</v>
      </c>
      <c r="C55" s="38">
        <f>$Y$6*N55/$Y$2/U55</f>
        <v>2.7870938429752062E-2</v>
      </c>
      <c r="D55" s="38">
        <f>$Z$6*N55/$Y$2/U55</f>
        <v>2.9561984132231399E-2</v>
      </c>
      <c r="E55" s="38">
        <f>$AA$6*N55/$Y$2*U55</f>
        <v>3.3334268675206611E-5</v>
      </c>
      <c r="F55" s="32">
        <f>U55*$Z$20</f>
        <v>20.195712416253109</v>
      </c>
      <c r="G55" s="8">
        <v>0</v>
      </c>
      <c r="H55" s="8">
        <v>0</v>
      </c>
      <c r="I55" s="8">
        <v>1</v>
      </c>
      <c r="J55" s="8">
        <v>0</v>
      </c>
      <c r="K55" s="8">
        <v>1</v>
      </c>
      <c r="L55" s="8">
        <v>-360</v>
      </c>
      <c r="M55" s="8">
        <v>360</v>
      </c>
      <c r="N55" s="112">
        <f t="shared" si="12"/>
        <v>1.5156779999999999</v>
      </c>
      <c r="O55" s="5" t="s">
        <v>93</v>
      </c>
      <c r="P55" s="5" t="s">
        <v>105</v>
      </c>
      <c r="Q55" s="14" t="s">
        <v>244</v>
      </c>
      <c r="R55" s="51">
        <v>22</v>
      </c>
      <c r="S55" s="103">
        <v>13.020123999999999</v>
      </c>
      <c r="T55" s="103">
        <f t="shared" si="1"/>
        <v>0</v>
      </c>
      <c r="U55" s="138">
        <v>1</v>
      </c>
      <c r="V55" s="112">
        <v>0.37891949999999996</v>
      </c>
      <c r="X55" s="30">
        <v>2500</v>
      </c>
      <c r="Y55" s="8">
        <v>1540</v>
      </c>
      <c r="Z55" s="26">
        <f t="shared" si="13"/>
        <v>613.49239604089632</v>
      </c>
      <c r="AA55" s="27">
        <v>7.1999999999999998E-3</v>
      </c>
      <c r="AB55" s="8">
        <v>0.47</v>
      </c>
      <c r="AC55" s="8">
        <f t="shared" si="17"/>
        <v>0.14757999999999999</v>
      </c>
      <c r="AD55" s="8">
        <v>0.27</v>
      </c>
      <c r="AE55" s="88">
        <f t="shared" si="18"/>
        <v>8.4779999999999998E-5</v>
      </c>
    </row>
    <row r="56" spans="1:31" x14ac:dyDescent="0.25">
      <c r="A56" s="6">
        <v>26</v>
      </c>
      <c r="B56" s="6">
        <v>121</v>
      </c>
      <c r="C56" s="38">
        <f>$Y$6*N56/$Y$2/U56</f>
        <v>5.1096720454545446E-3</v>
      </c>
      <c r="D56" s="38">
        <f>$Z$6*N56/$Y$2/U56</f>
        <v>5.4196970909090904E-3</v>
      </c>
      <c r="E56" s="38">
        <f>$AA$6*N56/$Y$2*U56</f>
        <v>9.778052144727272E-5</v>
      </c>
      <c r="F56" s="32">
        <f>U56*$Z$20</f>
        <v>80.782849665012435</v>
      </c>
      <c r="G56" s="8">
        <v>0</v>
      </c>
      <c r="H56" s="8">
        <v>0</v>
      </c>
      <c r="I56" s="8">
        <v>1</v>
      </c>
      <c r="J56" s="8">
        <v>0</v>
      </c>
      <c r="K56" s="8">
        <v>1</v>
      </c>
      <c r="L56" s="8">
        <v>-360</v>
      </c>
      <c r="M56" s="8">
        <v>360</v>
      </c>
      <c r="N56" s="112">
        <f t="shared" si="12"/>
        <v>1.1114971999999999</v>
      </c>
      <c r="O56" s="5" t="s">
        <v>93</v>
      </c>
      <c r="P56" s="5" t="s">
        <v>110</v>
      </c>
      <c r="Q56" s="14" t="s">
        <v>244</v>
      </c>
      <c r="R56" s="51">
        <v>22</v>
      </c>
      <c r="S56" s="103">
        <v>65.545478000000003</v>
      </c>
      <c r="T56" s="103">
        <f t="shared" si="1"/>
        <v>0</v>
      </c>
      <c r="U56" s="138">
        <v>4</v>
      </c>
      <c r="V56" s="112">
        <v>0.27787429999999996</v>
      </c>
    </row>
    <row r="57" spans="1:31" x14ac:dyDescent="0.25">
      <c r="A57" s="6">
        <v>26</v>
      </c>
      <c r="B57" s="6">
        <v>127</v>
      </c>
      <c r="C57" s="38">
        <f>$Y$6*N57/$Y$2/U57</f>
        <v>4.3196995867768586E-3</v>
      </c>
      <c r="D57" s="38">
        <f>$Z$6*N57/$Y$2/U57</f>
        <v>4.5817937190082642E-3</v>
      </c>
      <c r="E57" s="38">
        <f>$AA$6*N57/$Y$2*U57</f>
        <v>8.2663324442975217E-5</v>
      </c>
      <c r="F57" s="32">
        <f>U57*$Z$20</f>
        <v>80.782849665012435</v>
      </c>
      <c r="G57" s="8">
        <v>0</v>
      </c>
      <c r="H57" s="8">
        <v>0</v>
      </c>
      <c r="I57" s="8">
        <v>1</v>
      </c>
      <c r="J57" s="8">
        <v>0</v>
      </c>
      <c r="K57" s="8">
        <v>1</v>
      </c>
      <c r="L57" s="8">
        <v>-360</v>
      </c>
      <c r="M57" s="8">
        <v>360</v>
      </c>
      <c r="N57" s="112">
        <f t="shared" si="12"/>
        <v>0.93965599999999994</v>
      </c>
      <c r="O57" s="5" t="s">
        <v>93</v>
      </c>
      <c r="P57" s="5" t="s">
        <v>106</v>
      </c>
      <c r="Q57" s="14" t="s">
        <v>244</v>
      </c>
      <c r="R57" s="51">
        <v>22</v>
      </c>
      <c r="S57" s="103">
        <v>51.427205000000001</v>
      </c>
      <c r="T57" s="103">
        <f t="shared" si="1"/>
        <v>0</v>
      </c>
      <c r="U57" s="138">
        <v>4</v>
      </c>
      <c r="V57" s="112">
        <v>0.23491399999999998</v>
      </c>
    </row>
    <row r="58" spans="1:31" x14ac:dyDescent="0.25">
      <c r="A58" s="6">
        <v>26</v>
      </c>
      <c r="B58" s="6">
        <v>108</v>
      </c>
      <c r="C58" s="38">
        <f>$Y$6*N58/$Y$2/U58</f>
        <v>1.3681021157024794E-2</v>
      </c>
      <c r="D58" s="38">
        <f>$Z$6*N58/$Y$2/U58</f>
        <v>1.4511105586776858E-2</v>
      </c>
      <c r="E58" s="38">
        <f>$AA$6*N58/$Y$2*U58</f>
        <v>1.6362808742479338E-5</v>
      </c>
      <c r="F58" s="32">
        <f>U58*$Z$20</f>
        <v>20.195712416253109</v>
      </c>
      <c r="G58" s="8">
        <v>0</v>
      </c>
      <c r="H58" s="8">
        <v>0</v>
      </c>
      <c r="I58" s="8">
        <v>1</v>
      </c>
      <c r="J58" s="8">
        <v>0</v>
      </c>
      <c r="K58" s="8">
        <v>1</v>
      </c>
      <c r="L58" s="8">
        <v>-360</v>
      </c>
      <c r="M58" s="8">
        <v>360</v>
      </c>
      <c r="N58" s="112">
        <f t="shared" ref="N58:N121" si="22">V58*$W$2</f>
        <v>0.74400159999999993</v>
      </c>
      <c r="O58" s="5" t="s">
        <v>93</v>
      </c>
      <c r="P58" s="5" t="s">
        <v>111</v>
      </c>
      <c r="Q58" s="14" t="s">
        <v>244</v>
      </c>
      <c r="R58" s="51">
        <v>22</v>
      </c>
      <c r="S58" s="103">
        <v>6.0060279999999997</v>
      </c>
      <c r="T58" s="103">
        <f t="shared" ref="T58:T121" si="23">IF(F58&lt;S58,1,0)</f>
        <v>0</v>
      </c>
      <c r="U58" s="138">
        <v>1</v>
      </c>
      <c r="V58" s="112">
        <v>0.18600039999999998</v>
      </c>
    </row>
    <row r="59" spans="1:31" x14ac:dyDescent="0.25">
      <c r="A59" s="65">
        <v>11</v>
      </c>
      <c r="B59" s="65">
        <v>134</v>
      </c>
      <c r="C59" s="124">
        <f t="shared" ref="C59" si="24">$Y$7*N59/$Z$2/U59</f>
        <v>1.2418554545454543E-3</v>
      </c>
      <c r="D59" s="124">
        <f t="shared" ref="D59" si="25">$Z$7*N59/$Z$2/U59</f>
        <v>2.036366977575757E-2</v>
      </c>
      <c r="E59" s="124">
        <f t="shared" ref="E59" si="26">$AA$7*N59/$Z$2*U59</f>
        <v>2.1230208915151507E-5</v>
      </c>
      <c r="F59" s="67">
        <f>U59*$Z$40</f>
        <v>148.60995928940966</v>
      </c>
      <c r="G59" s="68">
        <v>0</v>
      </c>
      <c r="H59" s="68">
        <v>0</v>
      </c>
      <c r="I59" s="68">
        <v>1</v>
      </c>
      <c r="J59" s="68">
        <v>0</v>
      </c>
      <c r="K59" s="68">
        <v>1</v>
      </c>
      <c r="L59" s="68">
        <v>-360</v>
      </c>
      <c r="M59" s="68">
        <v>360</v>
      </c>
      <c r="N59" s="69">
        <f t="shared" si="22"/>
        <v>6.0105803999999994</v>
      </c>
      <c r="O59" s="5" t="s">
        <v>50</v>
      </c>
      <c r="P59" s="5" t="s">
        <v>184</v>
      </c>
      <c r="Q59" s="14" t="s">
        <v>244</v>
      </c>
      <c r="R59" s="49">
        <v>66</v>
      </c>
      <c r="S59" s="103">
        <v>136.24473</v>
      </c>
      <c r="T59" s="103">
        <f t="shared" si="23"/>
        <v>0</v>
      </c>
      <c r="U59" s="138">
        <v>1</v>
      </c>
      <c r="V59" s="112">
        <v>1.5026450999999998</v>
      </c>
      <c r="X59" s="15" t="s">
        <v>245</v>
      </c>
      <c r="Y59" s="16"/>
    </row>
    <row r="60" spans="1:31" x14ac:dyDescent="0.25">
      <c r="A60" s="6">
        <v>27</v>
      </c>
      <c r="B60" s="6">
        <v>148</v>
      </c>
      <c r="C60" s="38">
        <f>$Y$6*N60/$Y$2/U60</f>
        <v>5.4641241074380162E-2</v>
      </c>
      <c r="D60" s="38">
        <f>$Z$6*N60/$Y$2/U60</f>
        <v>5.7956552330578517E-2</v>
      </c>
      <c r="E60" s="38">
        <f>$AA$6*N60/$Y$2*U60</f>
        <v>2.6140860887206613E-4</v>
      </c>
      <c r="F60" s="32">
        <f>U60*$Z$20</f>
        <v>40.391424832506218</v>
      </c>
      <c r="G60" s="8">
        <v>0</v>
      </c>
      <c r="H60" s="8">
        <v>0</v>
      </c>
      <c r="I60" s="8">
        <v>1</v>
      </c>
      <c r="J60" s="8">
        <v>0</v>
      </c>
      <c r="K60" s="8">
        <v>1</v>
      </c>
      <c r="L60" s="8">
        <v>-360</v>
      </c>
      <c r="M60" s="8">
        <v>360</v>
      </c>
      <c r="N60" s="112">
        <f t="shared" si="22"/>
        <v>5.9430024000000001</v>
      </c>
      <c r="O60" s="5" t="s">
        <v>115</v>
      </c>
      <c r="P60" s="5" t="s">
        <v>215</v>
      </c>
      <c r="Q60" s="14" t="s">
        <v>244</v>
      </c>
      <c r="R60" s="51">
        <v>22</v>
      </c>
      <c r="S60" s="103">
        <v>24.367837999999999</v>
      </c>
      <c r="T60" s="103">
        <f t="shared" si="23"/>
        <v>0</v>
      </c>
      <c r="U60" s="138">
        <v>2</v>
      </c>
      <c r="V60" s="112">
        <v>1.4857506</v>
      </c>
      <c r="W60" t="s">
        <v>277</v>
      </c>
      <c r="X60" s="15" t="s">
        <v>288</v>
      </c>
      <c r="Y60" s="16"/>
    </row>
    <row r="61" spans="1:31" x14ac:dyDescent="0.25">
      <c r="A61" s="6">
        <v>145</v>
      </c>
      <c r="B61" s="6">
        <v>147</v>
      </c>
      <c r="C61" s="38">
        <f>$Y$6*N61/$Y$2/U61</f>
        <v>3.6776859504132234E-3</v>
      </c>
      <c r="D61" s="38">
        <f>$Z$6*N61/$Y$2/U61</f>
        <v>3.9008264462809922E-3</v>
      </c>
      <c r="E61" s="38">
        <f>$AA$6*N61/$Y$2*U61</f>
        <v>1.7594380165289258E-5</v>
      </c>
      <c r="F61" s="32">
        <f>U61*$Z$20</f>
        <v>40.391424832506218</v>
      </c>
      <c r="G61" s="8">
        <v>0</v>
      </c>
      <c r="H61" s="8">
        <v>0</v>
      </c>
      <c r="I61" s="8">
        <v>1</v>
      </c>
      <c r="J61" s="8">
        <v>0</v>
      </c>
      <c r="K61" s="8">
        <v>1</v>
      </c>
      <c r="L61" s="8">
        <v>-360</v>
      </c>
      <c r="M61" s="8">
        <v>360</v>
      </c>
      <c r="N61" s="112">
        <f t="shared" si="22"/>
        <v>0.4</v>
      </c>
      <c r="O61" s="5" t="s">
        <v>142</v>
      </c>
      <c r="P61" s="5" t="s">
        <v>213</v>
      </c>
      <c r="Q61" s="14" t="s">
        <v>244</v>
      </c>
      <c r="R61" s="51">
        <v>22</v>
      </c>
      <c r="S61" s="103">
        <v>5.0032807999999998</v>
      </c>
      <c r="T61" s="103">
        <f t="shared" si="23"/>
        <v>0</v>
      </c>
      <c r="U61" s="138">
        <v>2</v>
      </c>
      <c r="V61" s="112">
        <v>0.1</v>
      </c>
      <c r="X61" s="25" t="s">
        <v>281</v>
      </c>
      <c r="Y61" s="25" t="s">
        <v>286</v>
      </c>
      <c r="Z61" s="25" t="s">
        <v>285</v>
      </c>
      <c r="AA61" s="25" t="s">
        <v>284</v>
      </c>
      <c r="AB61" s="25" t="s">
        <v>287</v>
      </c>
      <c r="AC61" s="25" t="s">
        <v>294</v>
      </c>
    </row>
    <row r="62" spans="1:31" x14ac:dyDescent="0.25">
      <c r="A62" s="6">
        <v>27</v>
      </c>
      <c r="B62" s="6">
        <v>140</v>
      </c>
      <c r="C62" s="38">
        <f>$Y$6*N62/$Y$2/U62</f>
        <v>4.5847989586776862E-2</v>
      </c>
      <c r="D62" s="38">
        <f>$Z$6*N62/$Y$2/U62</f>
        <v>4.8629777719008269E-2</v>
      </c>
      <c r="E62" s="38">
        <f>$AA$6*N62/$Y$2*U62</f>
        <v>2.1934090335074381E-4</v>
      </c>
      <c r="F62" s="32">
        <f>U62*$Z$20</f>
        <v>40.391424832506218</v>
      </c>
      <c r="G62" s="8">
        <v>0</v>
      </c>
      <c r="H62" s="8">
        <v>0</v>
      </c>
      <c r="I62" s="8">
        <v>1</v>
      </c>
      <c r="J62" s="8">
        <v>0</v>
      </c>
      <c r="K62" s="8">
        <v>1</v>
      </c>
      <c r="L62" s="8">
        <v>-360</v>
      </c>
      <c r="M62" s="8">
        <v>360</v>
      </c>
      <c r="N62" s="112">
        <f t="shared" si="22"/>
        <v>4.9866128000000005</v>
      </c>
      <c r="O62" s="5" t="s">
        <v>115</v>
      </c>
      <c r="P62" s="5" t="s">
        <v>116</v>
      </c>
      <c r="Q62" s="14" t="s">
        <v>244</v>
      </c>
      <c r="R62" s="51">
        <v>22</v>
      </c>
      <c r="S62" s="103">
        <v>8.1272741999999995E-3</v>
      </c>
      <c r="T62" s="103">
        <f t="shared" si="23"/>
        <v>0</v>
      </c>
      <c r="U62" s="138">
        <v>2</v>
      </c>
      <c r="V62" s="112">
        <v>1.2466532000000001</v>
      </c>
      <c r="X62" s="30" t="s">
        <v>282</v>
      </c>
      <c r="Y62" s="8">
        <v>11</v>
      </c>
      <c r="Z62" s="8">
        <v>120</v>
      </c>
      <c r="AA62" s="41">
        <f>Y62/SQRT(1+1/Z62^2)</f>
        <v>10.999618075447344</v>
      </c>
      <c r="AB62" s="41">
        <f>SQRT(Y62^2-AA62^2)</f>
        <v>9.1663483962044656E-2</v>
      </c>
      <c r="AC62" s="8">
        <v>750</v>
      </c>
    </row>
    <row r="63" spans="1:31" x14ac:dyDescent="0.25">
      <c r="A63" s="106">
        <v>27</v>
      </c>
      <c r="B63" s="106">
        <v>28</v>
      </c>
      <c r="C63" s="107">
        <f>$Y$6*N63/$Y$2/U63</f>
        <v>3.6770703057851233E-2</v>
      </c>
      <c r="D63" s="107">
        <f>$Z$6*N63/$Y$2/U63</f>
        <v>3.9001734479338843E-2</v>
      </c>
      <c r="E63" s="107">
        <f>$AA$6*N63/$Y$2*U63</f>
        <v>1.7591434866049587E-4</v>
      </c>
      <c r="F63" s="108">
        <f>U63*$Z$20</f>
        <v>40.391424832506218</v>
      </c>
      <c r="G63" s="109">
        <v>0</v>
      </c>
      <c r="H63" s="109">
        <v>0</v>
      </c>
      <c r="I63" s="109">
        <v>1</v>
      </c>
      <c r="J63" s="109">
        <v>0</v>
      </c>
      <c r="K63" s="109">
        <v>0</v>
      </c>
      <c r="L63" s="109">
        <v>-360</v>
      </c>
      <c r="M63" s="109">
        <v>360</v>
      </c>
      <c r="N63" s="110">
        <f t="shared" si="22"/>
        <v>3.9993303999999998</v>
      </c>
      <c r="O63" s="5" t="s">
        <v>115</v>
      </c>
      <c r="P63" s="5" t="s">
        <v>191</v>
      </c>
      <c r="Q63" s="14" t="s">
        <v>244</v>
      </c>
      <c r="R63" s="51">
        <v>22</v>
      </c>
      <c r="S63" s="103">
        <v>0</v>
      </c>
      <c r="T63" s="103">
        <f t="shared" si="23"/>
        <v>0</v>
      </c>
      <c r="U63" s="138">
        <v>2</v>
      </c>
      <c r="V63" s="112">
        <v>0.99983259999999996</v>
      </c>
      <c r="X63" s="30" t="s">
        <v>283</v>
      </c>
      <c r="Y63" s="8">
        <v>8</v>
      </c>
      <c r="Z63" s="8">
        <v>80</v>
      </c>
      <c r="AA63" s="41">
        <f>Y63/SQRT(1+1/Z63^2)</f>
        <v>7.9993750732326516</v>
      </c>
      <c r="AB63" s="41">
        <f>SQRT(Y63^2-AA63^2)</f>
        <v>9.9992188415440289E-2</v>
      </c>
      <c r="AC63" s="8">
        <v>300</v>
      </c>
    </row>
    <row r="64" spans="1:31" x14ac:dyDescent="0.25">
      <c r="A64" s="106">
        <v>27</v>
      </c>
      <c r="B64" s="106">
        <v>29</v>
      </c>
      <c r="C64" s="107">
        <f>$Y$6*N64/$Y$2/U64</f>
        <v>3.6770703057851233E-2</v>
      </c>
      <c r="D64" s="107">
        <f>$Z$6*N64/$Y$2/U64</f>
        <v>3.9001734479338843E-2</v>
      </c>
      <c r="E64" s="107">
        <f>$AA$6*N64/$Y$2*U64</f>
        <v>1.7591434866049587E-4</v>
      </c>
      <c r="F64" s="108">
        <f>U64*$Z$20</f>
        <v>40.391424832506218</v>
      </c>
      <c r="G64" s="109">
        <v>0</v>
      </c>
      <c r="H64" s="109">
        <v>0</v>
      </c>
      <c r="I64" s="109">
        <v>1</v>
      </c>
      <c r="J64" s="109">
        <v>0</v>
      </c>
      <c r="K64" s="109">
        <v>0</v>
      </c>
      <c r="L64" s="109">
        <v>-360</v>
      </c>
      <c r="M64" s="109">
        <v>360</v>
      </c>
      <c r="N64" s="110">
        <f t="shared" si="22"/>
        <v>3.9993303999999998</v>
      </c>
      <c r="O64" s="5" t="s">
        <v>115</v>
      </c>
      <c r="P64" s="5" t="s">
        <v>166</v>
      </c>
      <c r="Q64" s="14" t="s">
        <v>244</v>
      </c>
      <c r="R64" s="51">
        <v>22</v>
      </c>
      <c r="S64" s="103">
        <v>0</v>
      </c>
      <c r="T64" s="103">
        <f t="shared" si="23"/>
        <v>0</v>
      </c>
      <c r="U64" s="138">
        <v>2</v>
      </c>
      <c r="V64" s="112">
        <v>0.99983259999999996</v>
      </c>
    </row>
    <row r="65" spans="1:25" x14ac:dyDescent="0.25">
      <c r="A65" s="6">
        <v>27</v>
      </c>
      <c r="B65" s="6">
        <v>135</v>
      </c>
      <c r="C65" s="38">
        <f t="shared" ref="C65:C93" si="27">$Y$6*N65/$Y$2/U65</f>
        <v>7.0338122038567487E-3</v>
      </c>
      <c r="D65" s="38">
        <f t="shared" ref="D65:D93" si="28">$Z$6*N65/$Y$2/U65</f>
        <v>7.460582831955922E-3</v>
      </c>
      <c r="E65" s="38">
        <f t="shared" ref="E65:E93" si="29">$AA$6*N65/$Y$2*U65</f>
        <v>7.5713377131074387E-5</v>
      </c>
      <c r="F65" s="32">
        <f t="shared" ref="F65:F91" si="30">U65*$Z$20</f>
        <v>60.587137248759326</v>
      </c>
      <c r="G65" s="8">
        <v>0</v>
      </c>
      <c r="H65" s="8">
        <v>0</v>
      </c>
      <c r="I65" s="8">
        <v>1</v>
      </c>
      <c r="J65" s="8">
        <v>0</v>
      </c>
      <c r="K65" s="8">
        <v>1</v>
      </c>
      <c r="L65" s="8">
        <v>-360</v>
      </c>
      <c r="M65" s="8">
        <v>360</v>
      </c>
      <c r="N65" s="112">
        <f t="shared" si="22"/>
        <v>1.1475388</v>
      </c>
      <c r="O65" s="5" t="s">
        <v>115</v>
      </c>
      <c r="P65" s="5" t="s">
        <v>129</v>
      </c>
      <c r="Q65" s="14" t="s">
        <v>244</v>
      </c>
      <c r="R65" s="51">
        <v>22</v>
      </c>
      <c r="S65" s="103">
        <v>55.805357999999998</v>
      </c>
      <c r="T65" s="103">
        <f t="shared" si="23"/>
        <v>0</v>
      </c>
      <c r="U65" s="138">
        <v>3</v>
      </c>
      <c r="V65" s="112">
        <v>0.28688469999999999</v>
      </c>
    </row>
    <row r="66" spans="1:25" x14ac:dyDescent="0.25">
      <c r="A66" s="6">
        <v>28</v>
      </c>
      <c r="B66" s="6">
        <v>164</v>
      </c>
      <c r="C66" s="38">
        <f t="shared" si="27"/>
        <v>0.12031250958677686</v>
      </c>
      <c r="D66" s="38">
        <f t="shared" si="28"/>
        <v>0.12761236971900825</v>
      </c>
      <c r="E66" s="38">
        <f t="shared" si="29"/>
        <v>1.4389646511768595E-4</v>
      </c>
      <c r="F66" s="32">
        <f t="shared" si="30"/>
        <v>20.195712416253109</v>
      </c>
      <c r="G66" s="8">
        <v>0</v>
      </c>
      <c r="H66" s="8">
        <v>0</v>
      </c>
      <c r="I66" s="8">
        <v>1</v>
      </c>
      <c r="J66" s="8">
        <v>0</v>
      </c>
      <c r="K66" s="8">
        <v>1</v>
      </c>
      <c r="L66" s="8">
        <v>-360</v>
      </c>
      <c r="M66" s="8">
        <v>360</v>
      </c>
      <c r="N66" s="112">
        <f t="shared" si="22"/>
        <v>6.5428375999999995</v>
      </c>
      <c r="O66" s="5" t="s">
        <v>191</v>
      </c>
      <c r="P66" s="5" t="s">
        <v>190</v>
      </c>
      <c r="Q66" s="14" t="s">
        <v>244</v>
      </c>
      <c r="R66" s="51">
        <v>22</v>
      </c>
      <c r="S66" s="103">
        <v>15.322854</v>
      </c>
      <c r="T66" s="103">
        <f t="shared" si="23"/>
        <v>0</v>
      </c>
      <c r="U66" s="138">
        <v>1</v>
      </c>
      <c r="V66" s="112">
        <v>1.6357093999999999</v>
      </c>
      <c r="X66" s="1" t="s">
        <v>259</v>
      </c>
    </row>
    <row r="67" spans="1:25" x14ac:dyDescent="0.25">
      <c r="A67" s="6">
        <v>28</v>
      </c>
      <c r="B67" s="6">
        <v>165</v>
      </c>
      <c r="C67" s="38">
        <f t="shared" si="27"/>
        <v>8.1849431074380169E-2</v>
      </c>
      <c r="D67" s="38">
        <f t="shared" si="28"/>
        <v>8.6815576330578514E-2</v>
      </c>
      <c r="E67" s="38">
        <f t="shared" si="29"/>
        <v>9.7893758878016531E-5</v>
      </c>
      <c r="F67" s="32">
        <f t="shared" si="30"/>
        <v>20.195712416253109</v>
      </c>
      <c r="G67" s="8">
        <v>0</v>
      </c>
      <c r="H67" s="8">
        <v>0</v>
      </c>
      <c r="I67" s="8">
        <v>1</v>
      </c>
      <c r="J67" s="8">
        <v>0</v>
      </c>
      <c r="K67" s="8">
        <v>1</v>
      </c>
      <c r="L67" s="8">
        <v>-360</v>
      </c>
      <c r="M67" s="8">
        <v>360</v>
      </c>
      <c r="N67" s="112">
        <f t="shared" si="22"/>
        <v>4.4511376</v>
      </c>
      <c r="O67" s="5" t="s">
        <v>191</v>
      </c>
      <c r="P67" s="5" t="s">
        <v>207</v>
      </c>
      <c r="Q67" s="14" t="s">
        <v>244</v>
      </c>
      <c r="R67" s="51">
        <v>22</v>
      </c>
      <c r="S67" s="103">
        <v>18.331437999999999</v>
      </c>
      <c r="T67" s="103">
        <f t="shared" si="23"/>
        <v>0</v>
      </c>
      <c r="U67" s="138">
        <v>1</v>
      </c>
      <c r="V67" s="112">
        <v>1.1127844</v>
      </c>
      <c r="X67" t="s">
        <v>260</v>
      </c>
    </row>
    <row r="68" spans="1:25" x14ac:dyDescent="0.25">
      <c r="A68" s="6">
        <v>28</v>
      </c>
      <c r="B68" s="6">
        <v>196</v>
      </c>
      <c r="C68" s="38">
        <f t="shared" si="27"/>
        <v>9.7074892768595038E-3</v>
      </c>
      <c r="D68" s="38">
        <f t="shared" si="28"/>
        <v>1.0296483008264464E-2</v>
      </c>
      <c r="E68" s="38">
        <f t="shared" si="29"/>
        <v>1.8576600513520663E-4</v>
      </c>
      <c r="F68" s="32">
        <f t="shared" si="30"/>
        <v>80.782849665012435</v>
      </c>
      <c r="G68" s="8">
        <v>0</v>
      </c>
      <c r="H68" s="8">
        <v>0</v>
      </c>
      <c r="I68" s="8">
        <v>1</v>
      </c>
      <c r="J68" s="8">
        <v>0</v>
      </c>
      <c r="K68" s="8">
        <v>1</v>
      </c>
      <c r="L68" s="8">
        <v>-360</v>
      </c>
      <c r="M68" s="8">
        <v>360</v>
      </c>
      <c r="N68" s="112">
        <f t="shared" si="22"/>
        <v>2.1116516000000001</v>
      </c>
      <c r="O68" s="5" t="s">
        <v>191</v>
      </c>
      <c r="P68" s="5" t="s">
        <v>203</v>
      </c>
      <c r="Q68" s="14" t="s">
        <v>244</v>
      </c>
      <c r="R68" s="51">
        <v>22</v>
      </c>
      <c r="S68" s="103">
        <v>60.35633</v>
      </c>
      <c r="T68" s="103">
        <f t="shared" si="23"/>
        <v>0</v>
      </c>
      <c r="U68" s="138">
        <v>4</v>
      </c>
      <c r="V68" s="112">
        <v>0.52791290000000002</v>
      </c>
      <c r="X68" s="1" t="s">
        <v>261</v>
      </c>
    </row>
    <row r="69" spans="1:25" x14ac:dyDescent="0.25">
      <c r="A69" s="117">
        <v>19</v>
      </c>
      <c r="B69" s="117">
        <v>152</v>
      </c>
      <c r="C69" s="118">
        <f>$Y$7*N69/$Z$2/U69</f>
        <v>3.0491214876033051E-4</v>
      </c>
      <c r="D69" s="118">
        <f>$Z$7*N69/$Z$2/U69</f>
        <v>4.9998816571166201E-3</v>
      </c>
      <c r="E69" s="118">
        <f>$AA$7*N69/$Z$2*U69</f>
        <v>5.2126425786960493E-6</v>
      </c>
      <c r="F69" s="119">
        <f>U69*$Z$40</f>
        <v>148.60995928940966</v>
      </c>
      <c r="G69" s="120">
        <v>0</v>
      </c>
      <c r="H69" s="120">
        <v>0</v>
      </c>
      <c r="I69" s="120">
        <v>1</v>
      </c>
      <c r="J69" s="120">
        <v>0</v>
      </c>
      <c r="K69" s="120">
        <v>1</v>
      </c>
      <c r="L69" s="120">
        <v>-360</v>
      </c>
      <c r="M69" s="120">
        <v>360</v>
      </c>
      <c r="N69" s="121">
        <f t="shared" si="22"/>
        <v>1.4757747999999999</v>
      </c>
      <c r="O69" s="5" t="s">
        <v>62</v>
      </c>
      <c r="P69" s="5" t="s">
        <v>204</v>
      </c>
      <c r="Q69" s="14" t="s">
        <v>244</v>
      </c>
      <c r="R69" s="49">
        <v>66</v>
      </c>
      <c r="S69" s="103">
        <v>100.11869</v>
      </c>
      <c r="T69" s="103">
        <f t="shared" si="23"/>
        <v>0</v>
      </c>
      <c r="U69" s="138">
        <v>1</v>
      </c>
      <c r="V69" s="112">
        <v>0.36894369999999999</v>
      </c>
      <c r="W69" t="s">
        <v>270</v>
      </c>
      <c r="X69" t="s">
        <v>262</v>
      </c>
    </row>
    <row r="70" spans="1:25" x14ac:dyDescent="0.25">
      <c r="A70" s="6">
        <v>28</v>
      </c>
      <c r="B70" s="6">
        <v>150</v>
      </c>
      <c r="C70" s="38">
        <f t="shared" si="27"/>
        <v>9.8169611157024779E-3</v>
      </c>
      <c r="D70" s="38">
        <f t="shared" si="28"/>
        <v>1.0412596958677686E-2</v>
      </c>
      <c r="E70" s="38">
        <f t="shared" si="29"/>
        <v>4.6965224400991734E-5</v>
      </c>
      <c r="F70" s="32">
        <f t="shared" si="30"/>
        <v>40.391424832506218</v>
      </c>
      <c r="G70" s="8">
        <v>0</v>
      </c>
      <c r="H70" s="8">
        <v>0</v>
      </c>
      <c r="I70" s="8">
        <v>1</v>
      </c>
      <c r="J70" s="8">
        <v>0</v>
      </c>
      <c r="K70" s="8">
        <v>1</v>
      </c>
      <c r="L70" s="8">
        <v>-360</v>
      </c>
      <c r="M70" s="8">
        <v>360</v>
      </c>
      <c r="N70" s="112">
        <f t="shared" si="22"/>
        <v>1.0677323999999999</v>
      </c>
      <c r="O70" s="5" t="s">
        <v>191</v>
      </c>
      <c r="P70" s="5" t="s">
        <v>192</v>
      </c>
      <c r="Q70" s="14" t="s">
        <v>244</v>
      </c>
      <c r="R70" s="51">
        <v>22</v>
      </c>
      <c r="S70" s="103">
        <v>1.1223741000000001E-2</v>
      </c>
      <c r="T70" s="103">
        <f t="shared" si="23"/>
        <v>0</v>
      </c>
      <c r="U70" s="138">
        <v>2</v>
      </c>
      <c r="V70" s="112">
        <v>0.26693309999999998</v>
      </c>
      <c r="X70" s="1" t="s">
        <v>263</v>
      </c>
    </row>
    <row r="71" spans="1:25" x14ac:dyDescent="0.25">
      <c r="A71" s="117">
        <v>20</v>
      </c>
      <c r="B71" s="117">
        <v>179</v>
      </c>
      <c r="C71" s="118">
        <f>$Y$7*N71/$Z$2/U71</f>
        <v>7.8083041322314043E-4</v>
      </c>
      <c r="D71" s="118">
        <f>$Z$7*N71/$Z$2/U71</f>
        <v>1.2803883598163453E-2</v>
      </c>
      <c r="E71" s="118">
        <f>$AA$7*N71/$Z$2*U71</f>
        <v>1.3348729708723598E-5</v>
      </c>
      <c r="F71" s="119">
        <f>U71*$Z$40</f>
        <v>148.60995928940966</v>
      </c>
      <c r="G71" s="120">
        <v>0</v>
      </c>
      <c r="H71" s="120">
        <v>0</v>
      </c>
      <c r="I71" s="120">
        <v>1</v>
      </c>
      <c r="J71" s="120">
        <v>0</v>
      </c>
      <c r="K71" s="120">
        <v>1</v>
      </c>
      <c r="L71" s="120">
        <v>-360</v>
      </c>
      <c r="M71" s="120">
        <v>360</v>
      </c>
      <c r="N71" s="121">
        <f t="shared" si="22"/>
        <v>3.7792192000000004</v>
      </c>
      <c r="O71" s="5" t="s">
        <v>61</v>
      </c>
      <c r="P71" s="5" t="s">
        <v>173</v>
      </c>
      <c r="Q71" s="14" t="s">
        <v>244</v>
      </c>
      <c r="R71" s="49">
        <v>66</v>
      </c>
      <c r="S71" s="103">
        <v>114.08060999999999</v>
      </c>
      <c r="T71" s="103">
        <f t="shared" si="23"/>
        <v>0</v>
      </c>
      <c r="U71" s="138">
        <v>1</v>
      </c>
      <c r="V71" s="112">
        <v>0.94480480000000011</v>
      </c>
      <c r="X71" t="s">
        <v>264</v>
      </c>
      <c r="Y71" s="36"/>
    </row>
    <row r="72" spans="1:25" x14ac:dyDescent="0.25">
      <c r="A72" s="6">
        <v>29</v>
      </c>
      <c r="B72" s="6">
        <v>171</v>
      </c>
      <c r="C72" s="38">
        <f t="shared" si="27"/>
        <v>7.5269285950413213E-3</v>
      </c>
      <c r="D72" s="38">
        <f t="shared" si="28"/>
        <v>7.983618644628097E-3</v>
      </c>
      <c r="E72" s="38">
        <f t="shared" si="29"/>
        <v>8.1021381697190086E-5</v>
      </c>
      <c r="F72" s="32">
        <f t="shared" si="30"/>
        <v>60.587137248759326</v>
      </c>
      <c r="G72" s="8">
        <v>0</v>
      </c>
      <c r="H72" s="8">
        <v>0</v>
      </c>
      <c r="I72" s="8">
        <v>1</v>
      </c>
      <c r="J72" s="8">
        <v>0</v>
      </c>
      <c r="K72" s="8">
        <v>1</v>
      </c>
      <c r="L72" s="8">
        <v>-360</v>
      </c>
      <c r="M72" s="8">
        <v>360</v>
      </c>
      <c r="N72" s="112">
        <f t="shared" si="22"/>
        <v>1.2279887999999999</v>
      </c>
      <c r="O72" s="5" t="s">
        <v>166</v>
      </c>
      <c r="P72" s="5" t="s">
        <v>170</v>
      </c>
      <c r="Q72" s="14" t="s">
        <v>244</v>
      </c>
      <c r="R72" s="51">
        <v>22</v>
      </c>
      <c r="S72" s="103">
        <v>55.124310999999999</v>
      </c>
      <c r="T72" s="103">
        <f t="shared" si="23"/>
        <v>0</v>
      </c>
      <c r="U72" s="138">
        <v>3</v>
      </c>
      <c r="V72" s="112">
        <v>0.30699719999999997</v>
      </c>
      <c r="X72" s="1" t="s">
        <v>912</v>
      </c>
    </row>
    <row r="73" spans="1:25" x14ac:dyDescent="0.25">
      <c r="A73" s="6">
        <v>20</v>
      </c>
      <c r="B73" s="6">
        <v>185</v>
      </c>
      <c r="C73" s="38">
        <f>$Y$7*N73/$Z$2/U73</f>
        <v>6.5822727272727265E-5</v>
      </c>
      <c r="D73" s="38">
        <f>$Z$7*N73/$Z$2/U73</f>
        <v>1.0793464545454544E-3</v>
      </c>
      <c r="E73" s="38">
        <f>$AA$7*N73/$Z$2*U73</f>
        <v>1.0127484818181815E-5</v>
      </c>
      <c r="F73" s="32">
        <f>U73*$Z$40</f>
        <v>445.829877868229</v>
      </c>
      <c r="G73" s="8">
        <v>0</v>
      </c>
      <c r="H73" s="8">
        <v>0</v>
      </c>
      <c r="I73" s="8">
        <v>1</v>
      </c>
      <c r="J73" s="8">
        <v>0</v>
      </c>
      <c r="K73" s="8">
        <v>1</v>
      </c>
      <c r="L73" s="8">
        <v>-360</v>
      </c>
      <c r="M73" s="8">
        <v>360</v>
      </c>
      <c r="N73" s="112">
        <f t="shared" si="22"/>
        <v>0.95574599999999998</v>
      </c>
      <c r="O73" s="5" t="s">
        <v>61</v>
      </c>
      <c r="P73" s="5" t="s">
        <v>171</v>
      </c>
      <c r="Q73" s="14" t="s">
        <v>244</v>
      </c>
      <c r="R73" s="49">
        <v>66</v>
      </c>
      <c r="S73" s="103">
        <v>341.30542000000003</v>
      </c>
      <c r="T73" s="103">
        <f t="shared" si="23"/>
        <v>0</v>
      </c>
      <c r="U73" s="138">
        <v>3</v>
      </c>
      <c r="V73" s="112">
        <v>0.2389365</v>
      </c>
      <c r="X73" t="s">
        <v>913</v>
      </c>
    </row>
    <row r="74" spans="1:25" x14ac:dyDescent="0.25">
      <c r="A74" s="6">
        <v>29</v>
      </c>
      <c r="B74" s="6">
        <v>169</v>
      </c>
      <c r="C74" s="38">
        <f t="shared" si="27"/>
        <v>1.7349807107438019E-2</v>
      </c>
      <c r="D74" s="38">
        <f t="shared" si="28"/>
        <v>1.8402492033057851E-2</v>
      </c>
      <c r="E74" s="38">
        <f t="shared" si="29"/>
        <v>2.0750759183801656E-5</v>
      </c>
      <c r="F74" s="32">
        <f t="shared" si="30"/>
        <v>20.195712416253109</v>
      </c>
      <c r="G74" s="8">
        <v>0</v>
      </c>
      <c r="H74" s="8">
        <v>0</v>
      </c>
      <c r="I74" s="8">
        <v>1</v>
      </c>
      <c r="J74" s="8">
        <v>0</v>
      </c>
      <c r="K74" s="8">
        <v>1</v>
      </c>
      <c r="L74" s="8">
        <v>-360</v>
      </c>
      <c r="M74" s="8">
        <v>360</v>
      </c>
      <c r="N74" s="112">
        <f t="shared" si="22"/>
        <v>0.94351760000000007</v>
      </c>
      <c r="O74" s="5" t="s">
        <v>166</v>
      </c>
      <c r="P74" s="5" t="s">
        <v>165</v>
      </c>
      <c r="Q74" s="14" t="s">
        <v>244</v>
      </c>
      <c r="R74" s="51">
        <v>22</v>
      </c>
      <c r="S74" s="103">
        <v>5.0046673000000004</v>
      </c>
      <c r="T74" s="103">
        <f t="shared" si="23"/>
        <v>0</v>
      </c>
      <c r="U74" s="138">
        <v>1</v>
      </c>
      <c r="V74" s="112">
        <v>0.23587940000000002</v>
      </c>
      <c r="W74" t="s">
        <v>272</v>
      </c>
      <c r="X74" s="1" t="s">
        <v>916</v>
      </c>
    </row>
    <row r="75" spans="1:25" x14ac:dyDescent="0.25">
      <c r="A75" s="6">
        <v>30</v>
      </c>
      <c r="B75" s="6">
        <v>31</v>
      </c>
      <c r="C75" s="38">
        <f t="shared" si="27"/>
        <v>1.3976890991735536E-2</v>
      </c>
      <c r="D75" s="38">
        <f t="shared" si="28"/>
        <v>1.4824927074380163E-2</v>
      </c>
      <c r="E75" s="38">
        <f t="shared" si="29"/>
        <v>1.6716675713553718E-5</v>
      </c>
      <c r="F75" s="32">
        <f t="shared" si="30"/>
        <v>20.195712416253109</v>
      </c>
      <c r="G75" s="8">
        <v>0</v>
      </c>
      <c r="H75" s="8">
        <v>0</v>
      </c>
      <c r="I75" s="8">
        <v>1</v>
      </c>
      <c r="J75" s="8">
        <v>0</v>
      </c>
      <c r="K75" s="8">
        <v>1</v>
      </c>
      <c r="L75" s="8">
        <v>-360</v>
      </c>
      <c r="M75" s="8">
        <v>360</v>
      </c>
      <c r="N75" s="112">
        <f t="shared" si="22"/>
        <v>0.76009159999999998</v>
      </c>
      <c r="O75" s="5" t="s">
        <v>107</v>
      </c>
      <c r="P75" s="5" t="s">
        <v>127</v>
      </c>
      <c r="Q75" s="14" t="s">
        <v>244</v>
      </c>
      <c r="R75" s="51">
        <v>22</v>
      </c>
      <c r="S75" s="103">
        <v>0.99984764000000004</v>
      </c>
      <c r="T75" s="103">
        <f t="shared" si="23"/>
        <v>0</v>
      </c>
      <c r="U75" s="138">
        <v>1</v>
      </c>
      <c r="V75" s="112">
        <v>0.19002289999999999</v>
      </c>
      <c r="X75" t="s">
        <v>913</v>
      </c>
    </row>
    <row r="76" spans="1:25" x14ac:dyDescent="0.25">
      <c r="A76" s="6">
        <v>31</v>
      </c>
      <c r="B76" s="6">
        <v>32</v>
      </c>
      <c r="C76" s="38">
        <f t="shared" si="27"/>
        <v>5.9529010743801644E-3</v>
      </c>
      <c r="D76" s="38">
        <f t="shared" si="28"/>
        <v>6.3140883305785123E-3</v>
      </c>
      <c r="E76" s="38">
        <f t="shared" si="29"/>
        <v>7.1198034580165295E-6</v>
      </c>
      <c r="F76" s="32">
        <f t="shared" si="30"/>
        <v>20.195712416253109</v>
      </c>
      <c r="G76" s="8">
        <v>0</v>
      </c>
      <c r="H76" s="8">
        <v>0</v>
      </c>
      <c r="I76" s="8">
        <v>1</v>
      </c>
      <c r="J76" s="8">
        <v>0</v>
      </c>
      <c r="K76" s="8">
        <v>1</v>
      </c>
      <c r="L76" s="8">
        <v>-360</v>
      </c>
      <c r="M76" s="8">
        <v>360</v>
      </c>
      <c r="N76" s="112">
        <f t="shared" si="22"/>
        <v>0.32373079999999999</v>
      </c>
      <c r="O76" s="5" t="s">
        <v>127</v>
      </c>
      <c r="P76" s="5" t="s">
        <v>126</v>
      </c>
      <c r="Q76" s="14" t="s">
        <v>244</v>
      </c>
      <c r="R76" s="51">
        <v>22</v>
      </c>
      <c r="S76" s="103">
        <v>6.6560346999999997E-12</v>
      </c>
      <c r="T76" s="103">
        <f t="shared" si="23"/>
        <v>0</v>
      </c>
      <c r="U76" s="138">
        <v>1</v>
      </c>
      <c r="V76" s="112">
        <v>8.0932699999999996E-2</v>
      </c>
    </row>
    <row r="77" spans="1:25" x14ac:dyDescent="0.25">
      <c r="A77" s="6">
        <v>33</v>
      </c>
      <c r="B77" s="6">
        <v>34</v>
      </c>
      <c r="C77" s="38">
        <f t="shared" si="27"/>
        <v>1.7278798347107435E-2</v>
      </c>
      <c r="D77" s="38">
        <f t="shared" si="28"/>
        <v>1.8327174876033057E-2</v>
      </c>
      <c r="E77" s="38">
        <f t="shared" si="29"/>
        <v>2.0665831110743804E-5</v>
      </c>
      <c r="F77" s="32">
        <f t="shared" si="30"/>
        <v>20.195712416253109</v>
      </c>
      <c r="G77" s="8">
        <v>0</v>
      </c>
      <c r="H77" s="8">
        <v>0</v>
      </c>
      <c r="I77" s="8">
        <v>1</v>
      </c>
      <c r="J77" s="8">
        <v>0</v>
      </c>
      <c r="K77" s="8">
        <v>1</v>
      </c>
      <c r="L77" s="8">
        <v>-360</v>
      </c>
      <c r="M77" s="8">
        <v>360</v>
      </c>
      <c r="N77" s="112">
        <f t="shared" si="22"/>
        <v>0.93965599999999994</v>
      </c>
      <c r="O77" s="5" t="s">
        <v>101</v>
      </c>
      <c r="P77" s="5" t="s">
        <v>102</v>
      </c>
      <c r="Q77" s="14" t="s">
        <v>244</v>
      </c>
      <c r="R77" s="51">
        <v>22</v>
      </c>
      <c r="S77" s="103">
        <v>6.0060897000000004</v>
      </c>
      <c r="T77" s="103">
        <f t="shared" si="23"/>
        <v>0</v>
      </c>
      <c r="U77" s="138">
        <v>1</v>
      </c>
      <c r="V77" s="112">
        <v>0.23491399999999998</v>
      </c>
    </row>
    <row r="78" spans="1:25" x14ac:dyDescent="0.25">
      <c r="A78" s="6">
        <v>35</v>
      </c>
      <c r="B78" s="6">
        <v>36</v>
      </c>
      <c r="C78" s="38">
        <f t="shared" si="27"/>
        <v>1.6213666942148763E-3</v>
      </c>
      <c r="D78" s="38">
        <f t="shared" si="28"/>
        <v>1.7197417520661159E-3</v>
      </c>
      <c r="E78" s="38">
        <f t="shared" si="29"/>
        <v>1.9391910014876037E-6</v>
      </c>
      <c r="F78" s="32">
        <f t="shared" si="30"/>
        <v>20.195712416253109</v>
      </c>
      <c r="G78" s="8">
        <v>0</v>
      </c>
      <c r="H78" s="8">
        <v>0</v>
      </c>
      <c r="I78" s="8">
        <v>1</v>
      </c>
      <c r="J78" s="8">
        <v>0</v>
      </c>
      <c r="K78" s="8">
        <v>1</v>
      </c>
      <c r="L78" s="8">
        <v>-360</v>
      </c>
      <c r="M78" s="8">
        <v>360</v>
      </c>
      <c r="N78" s="112">
        <f t="shared" si="22"/>
        <v>8.8173200000000007E-2</v>
      </c>
      <c r="O78" s="5" t="s">
        <v>145</v>
      </c>
      <c r="P78" s="5" t="s">
        <v>150</v>
      </c>
      <c r="Q78" s="14" t="s">
        <v>244</v>
      </c>
      <c r="R78" s="51">
        <v>22</v>
      </c>
      <c r="S78" s="103">
        <v>6.1005879999999996E-12</v>
      </c>
      <c r="T78" s="103">
        <f t="shared" si="23"/>
        <v>0</v>
      </c>
      <c r="U78" s="138">
        <v>1</v>
      </c>
      <c r="V78" s="112">
        <v>2.2043300000000002E-2</v>
      </c>
      <c r="W78" t="s">
        <v>273</v>
      </c>
    </row>
    <row r="79" spans="1:25" x14ac:dyDescent="0.25">
      <c r="A79" s="6">
        <v>37</v>
      </c>
      <c r="B79" s="6">
        <v>38</v>
      </c>
      <c r="C79" s="38">
        <f t="shared" si="27"/>
        <v>7.278397933884297E-3</v>
      </c>
      <c r="D79" s="38">
        <f t="shared" si="28"/>
        <v>7.7200085950413222E-3</v>
      </c>
      <c r="E79" s="38">
        <f t="shared" si="29"/>
        <v>8.7051274884297528E-6</v>
      </c>
      <c r="F79" s="32">
        <f t="shared" si="30"/>
        <v>20.195712416253109</v>
      </c>
      <c r="G79" s="8">
        <v>0</v>
      </c>
      <c r="H79" s="8">
        <v>0</v>
      </c>
      <c r="I79" s="8">
        <v>1</v>
      </c>
      <c r="J79" s="8">
        <v>0</v>
      </c>
      <c r="K79" s="8">
        <v>1</v>
      </c>
      <c r="L79" s="8">
        <v>-360</v>
      </c>
      <c r="M79" s="8">
        <v>360</v>
      </c>
      <c r="N79" s="112">
        <f t="shared" si="22"/>
        <v>0.395814</v>
      </c>
      <c r="O79" s="5" t="s">
        <v>164</v>
      </c>
      <c r="P79" s="5" t="s">
        <v>168</v>
      </c>
      <c r="Q79" s="14" t="s">
        <v>244</v>
      </c>
      <c r="R79" s="51">
        <v>22</v>
      </c>
      <c r="S79" s="103">
        <v>2.0002594</v>
      </c>
      <c r="T79" s="103">
        <f t="shared" si="23"/>
        <v>0</v>
      </c>
      <c r="U79" s="138">
        <v>1</v>
      </c>
      <c r="V79" s="112">
        <v>9.89535E-2</v>
      </c>
      <c r="W79" t="s">
        <v>273</v>
      </c>
    </row>
    <row r="80" spans="1:25" x14ac:dyDescent="0.25">
      <c r="A80" s="6">
        <v>38</v>
      </c>
      <c r="B80" s="6">
        <v>39</v>
      </c>
      <c r="C80" s="38">
        <f t="shared" si="27"/>
        <v>7.3375719008264464E-4</v>
      </c>
      <c r="D80" s="38">
        <f t="shared" si="28"/>
        <v>7.7827728925619838E-4</v>
      </c>
      <c r="E80" s="38">
        <f t="shared" si="29"/>
        <v>8.7759008826446297E-7</v>
      </c>
      <c r="F80" s="32">
        <f t="shared" si="30"/>
        <v>20.195712416253109</v>
      </c>
      <c r="G80" s="8">
        <v>0</v>
      </c>
      <c r="H80" s="8">
        <v>0</v>
      </c>
      <c r="I80" s="8">
        <v>1</v>
      </c>
      <c r="J80" s="8">
        <v>0</v>
      </c>
      <c r="K80" s="8">
        <v>1</v>
      </c>
      <c r="L80" s="8">
        <v>-360</v>
      </c>
      <c r="M80" s="8">
        <v>360</v>
      </c>
      <c r="N80" s="112">
        <f t="shared" si="22"/>
        <v>3.99032E-2</v>
      </c>
      <c r="O80" s="5" t="s">
        <v>168</v>
      </c>
      <c r="P80" s="5" t="s">
        <v>169</v>
      </c>
      <c r="Q80" s="14" t="s">
        <v>244</v>
      </c>
      <c r="R80" s="51">
        <v>22</v>
      </c>
      <c r="S80" s="103">
        <v>7.9875731999999999</v>
      </c>
      <c r="T80" s="103">
        <f t="shared" si="23"/>
        <v>0</v>
      </c>
      <c r="U80" s="138">
        <v>1</v>
      </c>
      <c r="V80" s="112">
        <v>9.9757999999999999E-3</v>
      </c>
    </row>
    <row r="81" spans="1:23" x14ac:dyDescent="0.25">
      <c r="A81" s="6">
        <v>21</v>
      </c>
      <c r="B81" s="6">
        <v>40</v>
      </c>
      <c r="C81" s="38">
        <f t="shared" si="27"/>
        <v>7.3375719008264464E-4</v>
      </c>
      <c r="D81" s="38">
        <f t="shared" si="28"/>
        <v>7.7827728925619838E-4</v>
      </c>
      <c r="E81" s="38">
        <f t="shared" si="29"/>
        <v>8.7759008826446297E-7</v>
      </c>
      <c r="F81" s="32">
        <f t="shared" si="30"/>
        <v>20.195712416253109</v>
      </c>
      <c r="G81" s="8">
        <v>0</v>
      </c>
      <c r="H81" s="8">
        <v>0</v>
      </c>
      <c r="I81" s="8">
        <v>1</v>
      </c>
      <c r="J81" s="8">
        <v>0</v>
      </c>
      <c r="K81" s="8">
        <v>1</v>
      </c>
      <c r="L81" s="8">
        <v>-360</v>
      </c>
      <c r="M81" s="8">
        <v>360</v>
      </c>
      <c r="N81" s="112">
        <f t="shared" si="22"/>
        <v>3.99032E-2</v>
      </c>
      <c r="O81" s="5" t="s">
        <v>99</v>
      </c>
      <c r="P81" s="5" t="s">
        <v>182</v>
      </c>
      <c r="Q81" s="14" t="s">
        <v>244</v>
      </c>
      <c r="R81" s="51">
        <v>22</v>
      </c>
      <c r="S81" s="103">
        <v>13.98841</v>
      </c>
      <c r="T81" s="103">
        <f t="shared" si="23"/>
        <v>0</v>
      </c>
      <c r="U81" s="138">
        <v>1</v>
      </c>
      <c r="V81" s="112">
        <v>9.9757999999999999E-3</v>
      </c>
      <c r="W81" t="s">
        <v>273</v>
      </c>
    </row>
    <row r="82" spans="1:23" x14ac:dyDescent="0.25">
      <c r="A82" s="6">
        <v>39</v>
      </c>
      <c r="B82" s="6">
        <v>40</v>
      </c>
      <c r="C82" s="38">
        <f t="shared" si="27"/>
        <v>9.4915042975206605E-3</v>
      </c>
      <c r="D82" s="38">
        <f t="shared" si="28"/>
        <v>1.0067393322314048E-2</v>
      </c>
      <c r="E82" s="38">
        <f t="shared" si="29"/>
        <v>1.1352052432066116E-5</v>
      </c>
      <c r="F82" s="32">
        <f t="shared" si="30"/>
        <v>20.195712416253109</v>
      </c>
      <c r="G82" s="8">
        <v>0</v>
      </c>
      <c r="H82" s="8">
        <v>0</v>
      </c>
      <c r="I82" s="8">
        <v>1</v>
      </c>
      <c r="J82" s="8">
        <v>0</v>
      </c>
      <c r="K82" s="8">
        <v>1</v>
      </c>
      <c r="L82" s="8">
        <v>-360</v>
      </c>
      <c r="M82" s="8">
        <v>360</v>
      </c>
      <c r="N82" s="112">
        <f t="shared" si="22"/>
        <v>0.51616719999999994</v>
      </c>
      <c r="O82" s="5" t="s">
        <v>169</v>
      </c>
      <c r="P82" s="5" t="s">
        <v>182</v>
      </c>
      <c r="Q82" s="14" t="s">
        <v>244</v>
      </c>
      <c r="R82" s="51">
        <v>22</v>
      </c>
      <c r="S82" s="103">
        <v>8.9948837000000008</v>
      </c>
      <c r="T82" s="103">
        <f t="shared" si="23"/>
        <v>0</v>
      </c>
      <c r="U82" s="138">
        <v>1</v>
      </c>
      <c r="V82" s="112">
        <v>0.12904179999999998</v>
      </c>
      <c r="W82" t="s">
        <v>273</v>
      </c>
    </row>
    <row r="83" spans="1:23" x14ac:dyDescent="0.25">
      <c r="A83" s="65">
        <v>21</v>
      </c>
      <c r="B83" s="65">
        <v>41</v>
      </c>
      <c r="C83" s="66">
        <f t="shared" si="27"/>
        <v>7.7162852892561987E-3</v>
      </c>
      <c r="D83" s="66">
        <f t="shared" si="28"/>
        <v>8.1844643966942146E-3</v>
      </c>
      <c r="E83" s="66">
        <f t="shared" si="29"/>
        <v>9.2288506056198351E-6</v>
      </c>
      <c r="F83" s="67">
        <f t="shared" si="30"/>
        <v>20.195712416253109</v>
      </c>
      <c r="G83" s="68">
        <v>0</v>
      </c>
      <c r="H83" s="68">
        <v>0</v>
      </c>
      <c r="I83" s="68">
        <v>1</v>
      </c>
      <c r="J83" s="68">
        <v>0</v>
      </c>
      <c r="K83" s="68">
        <v>1</v>
      </c>
      <c r="L83" s="68">
        <v>-360</v>
      </c>
      <c r="M83" s="68">
        <v>360</v>
      </c>
      <c r="N83" s="69">
        <f t="shared" si="22"/>
        <v>0.41962719999999998</v>
      </c>
      <c r="O83" s="5" t="s">
        <v>99</v>
      </c>
      <c r="P83" s="5" t="s">
        <v>194</v>
      </c>
      <c r="Q83" s="14" t="s">
        <v>244</v>
      </c>
      <c r="R83" s="51">
        <v>22</v>
      </c>
      <c r="S83" s="103">
        <v>4.5666572000000001E-3</v>
      </c>
      <c r="T83" s="103">
        <f t="shared" si="23"/>
        <v>0</v>
      </c>
      <c r="U83" s="138">
        <v>1</v>
      </c>
      <c r="V83" s="112">
        <v>0.10490679999999999</v>
      </c>
      <c r="W83" t="s">
        <v>273</v>
      </c>
    </row>
    <row r="84" spans="1:23" x14ac:dyDescent="0.25">
      <c r="A84" s="6">
        <v>41</v>
      </c>
      <c r="B84" s="6">
        <v>42</v>
      </c>
      <c r="C84" s="38">
        <f t="shared" si="27"/>
        <v>6.3197796694214881E-3</v>
      </c>
      <c r="D84" s="38">
        <f t="shared" si="28"/>
        <v>6.7032269752066113E-3</v>
      </c>
      <c r="E84" s="38">
        <f t="shared" si="29"/>
        <v>7.5585985021487616E-6</v>
      </c>
      <c r="F84" s="32">
        <f t="shared" si="30"/>
        <v>20.195712416253109</v>
      </c>
      <c r="G84" s="8">
        <v>0</v>
      </c>
      <c r="H84" s="8">
        <v>0</v>
      </c>
      <c r="I84" s="8">
        <v>1</v>
      </c>
      <c r="J84" s="8">
        <v>0</v>
      </c>
      <c r="K84" s="8">
        <v>1</v>
      </c>
      <c r="L84" s="8">
        <v>-360</v>
      </c>
      <c r="M84" s="8">
        <v>360</v>
      </c>
      <c r="N84" s="112">
        <f t="shared" si="22"/>
        <v>0.3436824</v>
      </c>
      <c r="O84" s="5" t="s">
        <v>194</v>
      </c>
      <c r="P84" s="5" t="s">
        <v>195</v>
      </c>
      <c r="Q84" s="14" t="s">
        <v>244</v>
      </c>
      <c r="R84" s="51">
        <v>22</v>
      </c>
      <c r="S84" s="103">
        <v>3.8658076E-3</v>
      </c>
      <c r="T84" s="103">
        <f t="shared" si="23"/>
        <v>0</v>
      </c>
      <c r="U84" s="138">
        <v>1</v>
      </c>
      <c r="V84" s="112">
        <v>8.59206E-2</v>
      </c>
      <c r="W84" t="s">
        <v>273</v>
      </c>
    </row>
    <row r="85" spans="1:23" x14ac:dyDescent="0.25">
      <c r="A85" s="6">
        <v>42</v>
      </c>
      <c r="B85" s="6">
        <v>43</v>
      </c>
      <c r="C85" s="38">
        <f t="shared" si="27"/>
        <v>3.4853466528925618E-2</v>
      </c>
      <c r="D85" s="38">
        <f t="shared" si="28"/>
        <v>3.6968171239669417E-2</v>
      </c>
      <c r="E85" s="38">
        <f t="shared" si="29"/>
        <v>4.1685529192561982E-5</v>
      </c>
      <c r="F85" s="32">
        <f t="shared" si="30"/>
        <v>20.195712416253109</v>
      </c>
      <c r="G85" s="8">
        <v>0</v>
      </c>
      <c r="H85" s="8">
        <v>0</v>
      </c>
      <c r="I85" s="8">
        <v>1</v>
      </c>
      <c r="J85" s="8">
        <v>0</v>
      </c>
      <c r="K85" s="8">
        <v>1</v>
      </c>
      <c r="L85" s="8">
        <v>-360</v>
      </c>
      <c r="M85" s="8">
        <v>360</v>
      </c>
      <c r="N85" s="112">
        <f t="shared" si="22"/>
        <v>1.8954019999999998</v>
      </c>
      <c r="O85" s="5" t="s">
        <v>195</v>
      </c>
      <c r="P85" s="5" t="s">
        <v>219</v>
      </c>
      <c r="Q85" s="14" t="s">
        <v>244</v>
      </c>
      <c r="R85" s="51">
        <v>22</v>
      </c>
      <c r="S85" s="103">
        <v>1.4064888E-9</v>
      </c>
      <c r="T85" s="103">
        <f t="shared" si="23"/>
        <v>0</v>
      </c>
      <c r="U85" s="138">
        <v>1</v>
      </c>
      <c r="V85" s="112">
        <v>0.47385049999999995</v>
      </c>
      <c r="W85" t="s">
        <v>273</v>
      </c>
    </row>
    <row r="86" spans="1:23" x14ac:dyDescent="0.25">
      <c r="A86" s="6">
        <v>46</v>
      </c>
      <c r="B86" s="6">
        <v>47</v>
      </c>
      <c r="C86" s="38">
        <f t="shared" si="27"/>
        <v>9.3376519834710726E-3</v>
      </c>
      <c r="D86" s="38">
        <f t="shared" si="28"/>
        <v>9.9042061487603292E-3</v>
      </c>
      <c r="E86" s="38">
        <f t="shared" si="29"/>
        <v>1.1168041607107437E-5</v>
      </c>
      <c r="F86" s="32">
        <f t="shared" si="30"/>
        <v>20.195712416253109</v>
      </c>
      <c r="G86" s="8">
        <v>0</v>
      </c>
      <c r="H86" s="8">
        <v>0</v>
      </c>
      <c r="I86" s="8">
        <v>1</v>
      </c>
      <c r="J86" s="8">
        <v>0</v>
      </c>
      <c r="K86" s="8">
        <v>1</v>
      </c>
      <c r="L86" s="8">
        <v>-360</v>
      </c>
      <c r="M86" s="8">
        <v>360</v>
      </c>
      <c r="N86" s="112">
        <f t="shared" si="22"/>
        <v>0.50780039999999993</v>
      </c>
      <c r="O86" s="5" t="s">
        <v>84</v>
      </c>
      <c r="P86" s="5" t="s">
        <v>85</v>
      </c>
      <c r="Q86" s="14" t="s">
        <v>244</v>
      </c>
      <c r="R86" s="51">
        <v>22</v>
      </c>
      <c r="S86" s="103">
        <v>2.9994483000000001</v>
      </c>
      <c r="T86" s="103">
        <f t="shared" si="23"/>
        <v>0</v>
      </c>
      <c r="U86" s="138">
        <v>1</v>
      </c>
      <c r="V86" s="112">
        <v>0.12695009999999998</v>
      </c>
      <c r="W86" t="s">
        <v>273</v>
      </c>
    </row>
    <row r="87" spans="1:23" x14ac:dyDescent="0.25">
      <c r="A87" s="6">
        <v>47</v>
      </c>
      <c r="B87" s="6">
        <v>48</v>
      </c>
      <c r="C87" s="38">
        <f t="shared" si="27"/>
        <v>4.7102477685950416E-3</v>
      </c>
      <c r="D87" s="38">
        <f t="shared" si="28"/>
        <v>4.9960380826446285E-3</v>
      </c>
      <c r="E87" s="38">
        <f t="shared" si="29"/>
        <v>5.6335621795041327E-6</v>
      </c>
      <c r="F87" s="32">
        <f t="shared" si="30"/>
        <v>20.195712416253109</v>
      </c>
      <c r="G87" s="8">
        <v>0</v>
      </c>
      <c r="H87" s="8">
        <v>0</v>
      </c>
      <c r="I87" s="8">
        <v>1</v>
      </c>
      <c r="J87" s="8">
        <v>0</v>
      </c>
      <c r="K87" s="8">
        <v>1</v>
      </c>
      <c r="L87" s="8">
        <v>-360</v>
      </c>
      <c r="M87" s="8">
        <v>360</v>
      </c>
      <c r="N87" s="112">
        <f t="shared" si="22"/>
        <v>0.25615280000000001</v>
      </c>
      <c r="O87" s="5" t="s">
        <v>85</v>
      </c>
      <c r="P87" s="5" t="s">
        <v>86</v>
      </c>
      <c r="Q87" s="14" t="s">
        <v>244</v>
      </c>
      <c r="R87" s="51">
        <v>22</v>
      </c>
      <c r="S87" s="103">
        <v>2.9986510000000002</v>
      </c>
      <c r="T87" s="103">
        <f t="shared" si="23"/>
        <v>0</v>
      </c>
      <c r="U87" s="138">
        <v>1</v>
      </c>
      <c r="V87" s="112">
        <v>6.4038200000000003E-2</v>
      </c>
      <c r="W87" t="s">
        <v>273</v>
      </c>
    </row>
    <row r="88" spans="1:23" x14ac:dyDescent="0.25">
      <c r="A88" s="6">
        <v>48</v>
      </c>
      <c r="B88" s="6">
        <v>49</v>
      </c>
      <c r="C88" s="38">
        <f t="shared" si="27"/>
        <v>1.0142417933884297E-2</v>
      </c>
      <c r="D88" s="38">
        <f t="shared" si="28"/>
        <v>1.0757800595041321E-2</v>
      </c>
      <c r="E88" s="38">
        <f t="shared" si="29"/>
        <v>1.2130559768429752E-5</v>
      </c>
      <c r="F88" s="32">
        <f t="shared" si="30"/>
        <v>20.195712416253109</v>
      </c>
      <c r="G88" s="8">
        <v>0</v>
      </c>
      <c r="H88" s="8">
        <v>0</v>
      </c>
      <c r="I88" s="8">
        <v>1</v>
      </c>
      <c r="J88" s="8">
        <v>0</v>
      </c>
      <c r="K88" s="8">
        <v>1</v>
      </c>
      <c r="L88" s="8">
        <v>-360</v>
      </c>
      <c r="M88" s="8">
        <v>360</v>
      </c>
      <c r="N88" s="112">
        <f t="shared" si="22"/>
        <v>0.55156519999999998</v>
      </c>
      <c r="O88" s="5" t="s">
        <v>86</v>
      </c>
      <c r="P88" s="5" t="s">
        <v>87</v>
      </c>
      <c r="Q88" s="14" t="s">
        <v>244</v>
      </c>
      <c r="R88" s="51">
        <v>22</v>
      </c>
      <c r="S88" s="103">
        <v>2.8331687999999999E-3</v>
      </c>
      <c r="T88" s="103">
        <f t="shared" si="23"/>
        <v>0</v>
      </c>
      <c r="U88" s="138">
        <v>1</v>
      </c>
      <c r="V88" s="112">
        <v>0.13789129999999999</v>
      </c>
      <c r="W88" t="s">
        <v>273</v>
      </c>
    </row>
    <row r="89" spans="1:23" x14ac:dyDescent="0.25">
      <c r="A89" s="6">
        <v>49</v>
      </c>
      <c r="B89" s="6">
        <v>50</v>
      </c>
      <c r="C89" s="38">
        <f t="shared" si="27"/>
        <v>2.3385551735537191E-2</v>
      </c>
      <c r="D89" s="38">
        <f t="shared" si="28"/>
        <v>2.480445038016529E-2</v>
      </c>
      <c r="E89" s="38">
        <f t="shared" si="29"/>
        <v>2.796964539371901E-5</v>
      </c>
      <c r="F89" s="32">
        <f t="shared" si="30"/>
        <v>20.195712416253109</v>
      </c>
      <c r="G89" s="8">
        <v>0</v>
      </c>
      <c r="H89" s="8">
        <v>0</v>
      </c>
      <c r="I89" s="8">
        <v>1</v>
      </c>
      <c r="J89" s="8">
        <v>0</v>
      </c>
      <c r="K89" s="8">
        <v>1</v>
      </c>
      <c r="L89" s="8">
        <v>-360</v>
      </c>
      <c r="M89" s="8">
        <v>360</v>
      </c>
      <c r="N89" s="112">
        <f t="shared" si="22"/>
        <v>1.2717536</v>
      </c>
      <c r="O89" s="5" t="s">
        <v>87</v>
      </c>
      <c r="P89" s="5" t="s">
        <v>88</v>
      </c>
      <c r="Q89" s="14" t="s">
        <v>244</v>
      </c>
      <c r="R89" s="51">
        <v>22</v>
      </c>
      <c r="S89" s="103">
        <v>2.4326603E-4</v>
      </c>
      <c r="T89" s="103">
        <f t="shared" si="23"/>
        <v>0</v>
      </c>
      <c r="U89" s="138">
        <v>1</v>
      </c>
      <c r="V89" s="112">
        <v>0.31793840000000001</v>
      </c>
    </row>
    <row r="90" spans="1:23" x14ac:dyDescent="0.25">
      <c r="A90" s="6">
        <v>50</v>
      </c>
      <c r="B90" s="6">
        <v>51</v>
      </c>
      <c r="C90" s="38">
        <f t="shared" si="27"/>
        <v>2.2012715702479334E-3</v>
      </c>
      <c r="D90" s="38">
        <f t="shared" si="28"/>
        <v>2.3348318677685947E-3</v>
      </c>
      <c r="E90" s="38">
        <f t="shared" si="29"/>
        <v>2.6327702647933884E-6</v>
      </c>
      <c r="F90" s="32">
        <f t="shared" si="30"/>
        <v>20.195712416253109</v>
      </c>
      <c r="G90" s="8">
        <v>0</v>
      </c>
      <c r="H90" s="8">
        <v>0</v>
      </c>
      <c r="I90" s="8">
        <v>1</v>
      </c>
      <c r="J90" s="8">
        <v>0</v>
      </c>
      <c r="K90" s="8">
        <v>1</v>
      </c>
      <c r="L90" s="8">
        <v>-360</v>
      </c>
      <c r="M90" s="8">
        <v>360</v>
      </c>
      <c r="N90" s="112">
        <f t="shared" si="22"/>
        <v>0.11970959999999999</v>
      </c>
      <c r="O90" s="5" t="s">
        <v>88</v>
      </c>
      <c r="P90" s="5" t="s">
        <v>89</v>
      </c>
      <c r="Q90" s="14" t="s">
        <v>244</v>
      </c>
      <c r="R90" s="51">
        <v>22</v>
      </c>
      <c r="S90" s="103">
        <v>5.0621050000000001E-12</v>
      </c>
      <c r="T90" s="103">
        <f t="shared" si="23"/>
        <v>0</v>
      </c>
      <c r="U90" s="138">
        <v>1</v>
      </c>
      <c r="V90" s="112">
        <v>2.9927399999999996E-2</v>
      </c>
    </row>
    <row r="91" spans="1:23" x14ac:dyDescent="0.25">
      <c r="A91" s="6">
        <v>52</v>
      </c>
      <c r="B91" s="6">
        <v>53</v>
      </c>
      <c r="C91" s="38">
        <f t="shared" si="27"/>
        <v>8.0949986776859498E-3</v>
      </c>
      <c r="D91" s="38">
        <f t="shared" si="28"/>
        <v>8.5861559008264463E-3</v>
      </c>
      <c r="E91" s="38">
        <f t="shared" si="29"/>
        <v>9.681800328595042E-6</v>
      </c>
      <c r="F91" s="32">
        <f t="shared" si="30"/>
        <v>20.195712416253109</v>
      </c>
      <c r="G91" s="8">
        <v>0</v>
      </c>
      <c r="H91" s="8">
        <v>0</v>
      </c>
      <c r="I91" s="8">
        <v>1</v>
      </c>
      <c r="J91" s="8">
        <v>0</v>
      </c>
      <c r="K91" s="8">
        <v>1</v>
      </c>
      <c r="L91" s="8">
        <v>-360</v>
      </c>
      <c r="M91" s="8">
        <v>360</v>
      </c>
      <c r="N91" s="112">
        <f t="shared" si="22"/>
        <v>0.44022240000000001</v>
      </c>
      <c r="O91" s="5" t="s">
        <v>94</v>
      </c>
      <c r="P91" s="5" t="s">
        <v>95</v>
      </c>
      <c r="Q91" s="14" t="s">
        <v>244</v>
      </c>
      <c r="R91" s="51">
        <v>22</v>
      </c>
      <c r="S91" s="103">
        <v>6.0024499999999996</v>
      </c>
      <c r="T91" s="103">
        <f t="shared" si="23"/>
        <v>0</v>
      </c>
      <c r="U91" s="138">
        <v>1</v>
      </c>
      <c r="V91" s="112">
        <v>0.1100556</v>
      </c>
    </row>
    <row r="92" spans="1:23" x14ac:dyDescent="0.25">
      <c r="A92" s="6">
        <v>53</v>
      </c>
      <c r="B92" s="6">
        <v>54</v>
      </c>
      <c r="C92" s="38">
        <f t="shared" si="27"/>
        <v>5.4440049586776855E-3</v>
      </c>
      <c r="D92" s="38">
        <f t="shared" si="28"/>
        <v>5.7743153719008265E-3</v>
      </c>
      <c r="E92" s="38">
        <f t="shared" si="29"/>
        <v>6.5111522677685953E-6</v>
      </c>
      <c r="F92" s="32">
        <f t="shared" ref="F92:F156" si="31">U92*$Z$20</f>
        <v>20.195712416253109</v>
      </c>
      <c r="G92" s="8">
        <v>0</v>
      </c>
      <c r="H92" s="8">
        <v>0</v>
      </c>
      <c r="I92" s="8">
        <v>1</v>
      </c>
      <c r="J92" s="8">
        <v>0</v>
      </c>
      <c r="K92" s="8">
        <v>1</v>
      </c>
      <c r="L92" s="8">
        <v>-360</v>
      </c>
      <c r="M92" s="8">
        <v>360</v>
      </c>
      <c r="N92" s="112">
        <f t="shared" si="22"/>
        <v>0.29605599999999999</v>
      </c>
      <c r="O92" s="5" t="s">
        <v>95</v>
      </c>
      <c r="P92" s="5" t="s">
        <v>96</v>
      </c>
      <c r="Q92" s="14" t="s">
        <v>244</v>
      </c>
      <c r="R92" s="51">
        <v>22</v>
      </c>
      <c r="S92" s="103">
        <v>2.9996531000000002</v>
      </c>
      <c r="T92" s="103">
        <f t="shared" si="23"/>
        <v>0</v>
      </c>
      <c r="U92" s="138">
        <v>1</v>
      </c>
      <c r="V92" s="112">
        <v>7.4013999999999996E-2</v>
      </c>
    </row>
    <row r="93" spans="1:23" x14ac:dyDescent="0.25">
      <c r="A93" s="6">
        <v>54</v>
      </c>
      <c r="B93" s="6">
        <v>55</v>
      </c>
      <c r="C93" s="38">
        <f t="shared" si="27"/>
        <v>1.0071409173553718E-2</v>
      </c>
      <c r="D93" s="38">
        <f t="shared" si="28"/>
        <v>1.0682483438016529E-2</v>
      </c>
      <c r="E93" s="38">
        <f t="shared" si="29"/>
        <v>1.20456316953719E-5</v>
      </c>
      <c r="F93" s="32">
        <f t="shared" si="31"/>
        <v>20.195712416253109</v>
      </c>
      <c r="G93" s="8">
        <v>0</v>
      </c>
      <c r="H93" s="8">
        <v>0</v>
      </c>
      <c r="I93" s="8">
        <v>1</v>
      </c>
      <c r="J93" s="8">
        <v>0</v>
      </c>
      <c r="K93" s="8">
        <v>1</v>
      </c>
      <c r="L93" s="8">
        <v>-360</v>
      </c>
      <c r="M93" s="8">
        <v>360</v>
      </c>
      <c r="N93" s="112">
        <f t="shared" si="22"/>
        <v>0.54770359999999996</v>
      </c>
      <c r="O93" s="5" t="s">
        <v>96</v>
      </c>
      <c r="P93" s="5" t="s">
        <v>97</v>
      </c>
      <c r="Q93" s="14" t="s">
        <v>244</v>
      </c>
      <c r="R93" s="51">
        <v>22</v>
      </c>
      <c r="S93" s="103">
        <v>2.9991994000000002</v>
      </c>
      <c r="T93" s="103">
        <f t="shared" si="23"/>
        <v>0</v>
      </c>
      <c r="U93" s="138">
        <v>1</v>
      </c>
      <c r="V93" s="112">
        <v>0.13692589999999999</v>
      </c>
    </row>
    <row r="94" spans="1:23" x14ac:dyDescent="0.25">
      <c r="A94" s="6">
        <v>55</v>
      </c>
      <c r="B94" s="6">
        <v>56</v>
      </c>
      <c r="C94" s="38">
        <f t="shared" ref="C94:C125" si="32">$Y$6*N94/$Y$2/U94</f>
        <v>7.503259008264462E-3</v>
      </c>
      <c r="D94" s="38">
        <f t="shared" ref="D94:D125" si="33">$Z$6*N94/$Y$2/U94</f>
        <v>7.9585129256198334E-3</v>
      </c>
      <c r="E94" s="38">
        <f t="shared" ref="E94:E125" si="34">$AA$6*N94/$Y$2*U94</f>
        <v>8.9740663864462813E-6</v>
      </c>
      <c r="F94" s="32">
        <f t="shared" si="31"/>
        <v>20.195712416253109</v>
      </c>
      <c r="G94" s="8">
        <v>0</v>
      </c>
      <c r="H94" s="8">
        <v>0</v>
      </c>
      <c r="I94" s="8">
        <v>1</v>
      </c>
      <c r="J94" s="8">
        <v>0</v>
      </c>
      <c r="K94" s="8">
        <v>1</v>
      </c>
      <c r="L94" s="8">
        <v>-360</v>
      </c>
      <c r="M94" s="8">
        <v>360</v>
      </c>
      <c r="N94" s="112">
        <f t="shared" si="22"/>
        <v>0.40804239999999997</v>
      </c>
      <c r="O94" s="5" t="s">
        <v>97</v>
      </c>
      <c r="P94" s="5" t="s">
        <v>98</v>
      </c>
      <c r="Q94" s="14" t="s">
        <v>244</v>
      </c>
      <c r="R94" s="51">
        <v>22</v>
      </c>
      <c r="S94" s="103">
        <v>2.9983316000000002</v>
      </c>
      <c r="T94" s="103">
        <f t="shared" si="23"/>
        <v>0</v>
      </c>
      <c r="U94" s="138">
        <v>1</v>
      </c>
      <c r="V94" s="112">
        <v>0.10201059999999999</v>
      </c>
    </row>
    <row r="95" spans="1:23" x14ac:dyDescent="0.25">
      <c r="A95" s="6">
        <v>56</v>
      </c>
      <c r="B95" s="6">
        <v>57</v>
      </c>
      <c r="C95" s="38">
        <f t="shared" si="32"/>
        <v>4.7800730495867763E-2</v>
      </c>
      <c r="D95" s="38">
        <f t="shared" si="33"/>
        <v>5.0700999537190074E-2</v>
      </c>
      <c r="E95" s="38">
        <f t="shared" si="34"/>
        <v>5.7170747846776852E-5</v>
      </c>
      <c r="F95" s="32">
        <f t="shared" si="31"/>
        <v>20.195712416253109</v>
      </c>
      <c r="G95" s="8">
        <v>0</v>
      </c>
      <c r="H95" s="8">
        <v>0</v>
      </c>
      <c r="I95" s="8">
        <v>1</v>
      </c>
      <c r="J95" s="8">
        <v>0</v>
      </c>
      <c r="K95" s="8">
        <v>1</v>
      </c>
      <c r="L95" s="8">
        <v>-360</v>
      </c>
      <c r="M95" s="8">
        <v>360</v>
      </c>
      <c r="N95" s="112">
        <f t="shared" si="22"/>
        <v>2.5995003999999997</v>
      </c>
      <c r="O95" s="5" t="s">
        <v>98</v>
      </c>
      <c r="P95" s="5" t="s">
        <v>104</v>
      </c>
      <c r="Q95" s="14" t="s">
        <v>244</v>
      </c>
      <c r="R95" s="51">
        <v>22</v>
      </c>
      <c r="S95" s="103">
        <v>3.5862980000000001E-9</v>
      </c>
      <c r="T95" s="103">
        <f t="shared" si="23"/>
        <v>0</v>
      </c>
      <c r="U95" s="138">
        <v>1</v>
      </c>
      <c r="V95" s="112">
        <v>0.64987509999999993</v>
      </c>
    </row>
    <row r="96" spans="1:23" x14ac:dyDescent="0.25">
      <c r="A96" s="6">
        <v>13</v>
      </c>
      <c r="B96" s="6">
        <v>59</v>
      </c>
      <c r="C96" s="38">
        <f>$Y$7*N96/$Z$2/U96</f>
        <v>4.9586776859504122E-4</v>
      </c>
      <c r="D96" s="38">
        <f>$Z$7*N96/$Z$2/U96</f>
        <v>8.1311294765840213E-3</v>
      </c>
      <c r="E96" s="38">
        <f>$AA$7*N96/$Z$2*U96</f>
        <v>8.477134986225892E-6</v>
      </c>
      <c r="F96" s="32">
        <f>U96*$Z$40</f>
        <v>148.60995928940966</v>
      </c>
      <c r="G96" s="8">
        <v>0</v>
      </c>
      <c r="H96" s="8">
        <v>0</v>
      </c>
      <c r="I96" s="8">
        <v>1</v>
      </c>
      <c r="J96" s="8">
        <v>0</v>
      </c>
      <c r="K96" s="8">
        <v>1</v>
      </c>
      <c r="L96" s="8">
        <v>-360</v>
      </c>
      <c r="M96" s="8">
        <v>360</v>
      </c>
      <c r="N96" s="112">
        <f t="shared" si="22"/>
        <v>2.4</v>
      </c>
      <c r="O96" s="5" t="s">
        <v>57</v>
      </c>
      <c r="P96" s="5" t="s">
        <v>914</v>
      </c>
      <c r="Q96" s="14" t="s">
        <v>244</v>
      </c>
      <c r="R96" s="49">
        <v>66</v>
      </c>
      <c r="S96" s="103">
        <v>125.37823</v>
      </c>
      <c r="T96" s="103">
        <f t="shared" si="23"/>
        <v>0</v>
      </c>
      <c r="U96" s="138">
        <v>1</v>
      </c>
      <c r="V96" s="112">
        <v>0.6</v>
      </c>
    </row>
    <row r="97" spans="1:23" x14ac:dyDescent="0.25">
      <c r="A97" s="65">
        <v>59</v>
      </c>
      <c r="B97" s="65">
        <v>60</v>
      </c>
      <c r="C97" s="90">
        <f>$AB$63/100*$X$2/F97</f>
        <v>3.3330729471813431E-4</v>
      </c>
      <c r="D97" s="90">
        <f>$AA$63/100*$X$2/F97</f>
        <v>2.6664583577442176E-2</v>
      </c>
      <c r="E97" s="90">
        <v>0</v>
      </c>
      <c r="F97" s="67">
        <f>U97*$AC$63</f>
        <v>300</v>
      </c>
      <c r="G97" s="91">
        <v>0</v>
      </c>
      <c r="H97" s="91">
        <v>0</v>
      </c>
      <c r="I97" s="91">
        <v>1</v>
      </c>
      <c r="J97" s="91">
        <v>0</v>
      </c>
      <c r="K97" s="91">
        <v>1</v>
      </c>
      <c r="L97" s="91">
        <v>-360</v>
      </c>
      <c r="M97" s="91">
        <v>360</v>
      </c>
      <c r="N97" s="69">
        <v>0</v>
      </c>
      <c r="O97" s="33" t="s">
        <v>914</v>
      </c>
      <c r="P97" s="33" t="s">
        <v>915</v>
      </c>
      <c r="Q97" s="34" t="s">
        <v>245</v>
      </c>
      <c r="R97" s="64">
        <v>66</v>
      </c>
      <c r="S97" s="103">
        <v>20.08351</v>
      </c>
      <c r="T97" s="103">
        <f t="shared" si="23"/>
        <v>0</v>
      </c>
      <c r="U97" s="92">
        <v>1</v>
      </c>
      <c r="V97" s="113">
        <v>0.99983259999999996</v>
      </c>
    </row>
    <row r="98" spans="1:23" x14ac:dyDescent="0.25">
      <c r="A98" s="65">
        <v>64</v>
      </c>
      <c r="B98" s="65">
        <v>61</v>
      </c>
      <c r="C98" s="66">
        <f>$Y$7*N98/$Z$2/U98</f>
        <v>8.4944561983471068E-4</v>
      </c>
      <c r="D98" s="66">
        <f>$Z$7*N98/$Z$2/U98</f>
        <v>1.3929020508356288E-2</v>
      </c>
      <c r="E98" s="66">
        <f>$AA$7*N98/$Z$2*U98</f>
        <v>1.4521744785307619E-5</v>
      </c>
      <c r="F98" s="67">
        <f>U98*$Z$40</f>
        <v>148.60995928940966</v>
      </c>
      <c r="G98" s="68">
        <v>0</v>
      </c>
      <c r="H98" s="68">
        <v>0</v>
      </c>
      <c r="I98" s="68">
        <v>1</v>
      </c>
      <c r="J98" s="68">
        <v>0</v>
      </c>
      <c r="K98" s="68">
        <v>1</v>
      </c>
      <c r="L98" s="68">
        <v>-360</v>
      </c>
      <c r="M98" s="68">
        <v>360</v>
      </c>
      <c r="N98" s="69">
        <f t="shared" si="22"/>
        <v>4.1113168</v>
      </c>
      <c r="O98" s="5" t="s">
        <v>231</v>
      </c>
      <c r="P98" s="5" t="s">
        <v>212</v>
      </c>
      <c r="Q98" s="14" t="s">
        <v>244</v>
      </c>
      <c r="R98" s="49">
        <v>66</v>
      </c>
      <c r="S98" s="103">
        <v>4.7341120999999999E-12</v>
      </c>
      <c r="T98" s="103">
        <f t="shared" si="23"/>
        <v>0</v>
      </c>
      <c r="U98" s="138">
        <v>1</v>
      </c>
      <c r="V98" s="112">
        <v>1.0278292</v>
      </c>
      <c r="W98" t="s">
        <v>274</v>
      </c>
    </row>
    <row r="99" spans="1:23" x14ac:dyDescent="0.25">
      <c r="A99" s="65">
        <v>59</v>
      </c>
      <c r="B99" s="65">
        <v>63</v>
      </c>
      <c r="C99" s="66">
        <f>$Y$7*N99/$Z$2/U99</f>
        <v>3.5610760330578503E-4</v>
      </c>
      <c r="D99" s="66">
        <f>$Z$7*N99/$Z$2/U99</f>
        <v>5.8393733439853057E-3</v>
      </c>
      <c r="E99" s="66">
        <f>$AA$7*N99/$Z$2*U99</f>
        <v>6.0878573160697866E-6</v>
      </c>
      <c r="F99" s="67">
        <f>U99*$Z$40</f>
        <v>148.60995928940966</v>
      </c>
      <c r="G99" s="68">
        <v>0</v>
      </c>
      <c r="H99" s="68">
        <v>0</v>
      </c>
      <c r="I99" s="68">
        <v>1</v>
      </c>
      <c r="J99" s="68">
        <v>0</v>
      </c>
      <c r="K99" s="68">
        <v>1</v>
      </c>
      <c r="L99" s="68">
        <v>-360</v>
      </c>
      <c r="M99" s="68">
        <v>360</v>
      </c>
      <c r="N99" s="69">
        <f t="shared" si="22"/>
        <v>1.7235607999999998</v>
      </c>
      <c r="O99" s="5" t="s">
        <v>914</v>
      </c>
      <c r="P99" s="5" t="s">
        <v>225</v>
      </c>
      <c r="Q99" s="14" t="s">
        <v>244</v>
      </c>
      <c r="R99" s="49">
        <v>66</v>
      </c>
      <c r="S99" s="103">
        <v>70.031766000000005</v>
      </c>
      <c r="T99" s="103">
        <f t="shared" si="23"/>
        <v>0</v>
      </c>
      <c r="U99" s="138">
        <v>1</v>
      </c>
      <c r="V99" s="112">
        <v>0.43089019999999995</v>
      </c>
    </row>
    <row r="100" spans="1:23" x14ac:dyDescent="0.25">
      <c r="A100" s="6">
        <v>60</v>
      </c>
      <c r="B100" s="6">
        <v>62</v>
      </c>
      <c r="C100" s="38">
        <f t="shared" si="32"/>
        <v>2.3314542975206614E-2</v>
      </c>
      <c r="D100" s="38">
        <f t="shared" si="33"/>
        <v>2.4729133223140496E-2</v>
      </c>
      <c r="E100" s="38">
        <f t="shared" si="34"/>
        <v>2.7884717320661159E-5</v>
      </c>
      <c r="F100" s="32">
        <f t="shared" si="31"/>
        <v>20.195712416253109</v>
      </c>
      <c r="G100" s="8">
        <v>0</v>
      </c>
      <c r="H100" s="8">
        <v>0</v>
      </c>
      <c r="I100" s="8">
        <v>1</v>
      </c>
      <c r="J100" s="8">
        <v>0</v>
      </c>
      <c r="K100" s="8">
        <v>1</v>
      </c>
      <c r="L100" s="8">
        <v>-360</v>
      </c>
      <c r="M100" s="8">
        <v>360</v>
      </c>
      <c r="N100" s="112">
        <f t="shared" si="22"/>
        <v>1.267892</v>
      </c>
      <c r="O100" s="5" t="s">
        <v>915</v>
      </c>
      <c r="P100" s="5" t="s">
        <v>970</v>
      </c>
      <c r="Q100" s="14" t="s">
        <v>244</v>
      </c>
      <c r="R100" s="51">
        <v>22</v>
      </c>
      <c r="S100" s="103">
        <v>15.051993</v>
      </c>
      <c r="T100" s="103">
        <f t="shared" si="23"/>
        <v>0</v>
      </c>
      <c r="U100" s="138">
        <v>1</v>
      </c>
      <c r="V100" s="112">
        <v>0.316973</v>
      </c>
    </row>
    <row r="101" spans="1:23" x14ac:dyDescent="0.25">
      <c r="A101" s="65">
        <v>63</v>
      </c>
      <c r="B101" s="65">
        <v>64</v>
      </c>
      <c r="C101" s="66">
        <f>$Y$7*N101/$Z$2/U101</f>
        <v>1.9746818181818181E-4</v>
      </c>
      <c r="D101" s="66">
        <f>$Z$7*N101/$Z$2/U101</f>
        <v>3.2380393636363631E-3</v>
      </c>
      <c r="E101" s="66">
        <f>$AA$7*N101/$Z$2*U101</f>
        <v>3.3758282727272714E-6</v>
      </c>
      <c r="F101" s="67">
        <f>U101*$Z$40</f>
        <v>148.60995928940966</v>
      </c>
      <c r="G101" s="68">
        <v>0</v>
      </c>
      <c r="H101" s="68">
        <v>0</v>
      </c>
      <c r="I101" s="68">
        <v>1</v>
      </c>
      <c r="J101" s="68">
        <v>0</v>
      </c>
      <c r="K101" s="68">
        <v>1</v>
      </c>
      <c r="L101" s="68">
        <v>-360</v>
      </c>
      <c r="M101" s="68">
        <v>360</v>
      </c>
      <c r="N101" s="69">
        <f t="shared" si="22"/>
        <v>0.95574599999999998</v>
      </c>
      <c r="O101" s="5" t="s">
        <v>225</v>
      </c>
      <c r="P101" s="5" t="s">
        <v>231</v>
      </c>
      <c r="Q101" s="14" t="s">
        <v>244</v>
      </c>
      <c r="R101" s="49">
        <v>66</v>
      </c>
      <c r="S101" s="103">
        <v>30.001149999999999</v>
      </c>
      <c r="T101" s="103">
        <f t="shared" si="23"/>
        <v>0</v>
      </c>
      <c r="U101" s="138">
        <v>1</v>
      </c>
      <c r="V101" s="112">
        <v>0.2389365</v>
      </c>
    </row>
    <row r="102" spans="1:23" x14ac:dyDescent="0.25">
      <c r="A102" s="65">
        <v>60</v>
      </c>
      <c r="B102" s="65">
        <v>65</v>
      </c>
      <c r="C102" s="66">
        <f t="shared" si="32"/>
        <v>1.4710743801652893E-2</v>
      </c>
      <c r="D102" s="66">
        <f t="shared" si="33"/>
        <v>1.5603305785123969E-2</v>
      </c>
      <c r="E102" s="66">
        <f t="shared" si="34"/>
        <v>1.7594380165289258E-5</v>
      </c>
      <c r="F102" s="67">
        <f t="shared" si="31"/>
        <v>20.195712416253109</v>
      </c>
      <c r="G102" s="68">
        <v>0</v>
      </c>
      <c r="H102" s="68">
        <v>0</v>
      </c>
      <c r="I102" s="68">
        <v>1</v>
      </c>
      <c r="J102" s="68">
        <v>0</v>
      </c>
      <c r="K102" s="68">
        <v>1</v>
      </c>
      <c r="L102" s="68">
        <v>-360</v>
      </c>
      <c r="M102" s="68">
        <v>360</v>
      </c>
      <c r="N102" s="69">
        <v>0.8</v>
      </c>
      <c r="O102" s="5" t="s">
        <v>915</v>
      </c>
      <c r="P102" s="5" t="s">
        <v>234</v>
      </c>
      <c r="Q102" s="14" t="s">
        <v>244</v>
      </c>
      <c r="R102" s="51">
        <v>22</v>
      </c>
      <c r="S102" s="103">
        <v>5.0036189999999996</v>
      </c>
      <c r="T102" s="103">
        <f t="shared" si="23"/>
        <v>0</v>
      </c>
      <c r="U102" s="138">
        <v>1</v>
      </c>
      <c r="V102" s="112">
        <v>0.14593629999999999</v>
      </c>
    </row>
    <row r="103" spans="1:23" x14ac:dyDescent="0.25">
      <c r="A103" s="6">
        <v>66</v>
      </c>
      <c r="B103" s="6">
        <v>67</v>
      </c>
      <c r="C103" s="38">
        <f t="shared" si="32"/>
        <v>2.1101436611570247E-2</v>
      </c>
      <c r="D103" s="38">
        <f t="shared" si="33"/>
        <v>2.2381748495867767E-2</v>
      </c>
      <c r="E103" s="38">
        <f t="shared" si="34"/>
        <v>2.5237792377024796E-5</v>
      </c>
      <c r="F103" s="32">
        <f t="shared" si="31"/>
        <v>20.195712416253109</v>
      </c>
      <c r="G103" s="8">
        <v>0</v>
      </c>
      <c r="H103" s="8">
        <v>0</v>
      </c>
      <c r="I103" s="8">
        <v>1</v>
      </c>
      <c r="J103" s="8">
        <v>0</v>
      </c>
      <c r="K103" s="8">
        <v>1</v>
      </c>
      <c r="L103" s="8">
        <v>-360</v>
      </c>
      <c r="M103" s="8">
        <v>360</v>
      </c>
      <c r="N103" s="112">
        <f t="shared" si="22"/>
        <v>1.1475388</v>
      </c>
      <c r="O103" s="5" t="s">
        <v>64</v>
      </c>
      <c r="P103" s="5" t="s">
        <v>69</v>
      </c>
      <c r="Q103" s="14" t="s">
        <v>244</v>
      </c>
      <c r="R103" s="51">
        <v>22</v>
      </c>
      <c r="S103" s="103">
        <v>3.0018433999999998</v>
      </c>
      <c r="T103" s="103">
        <f t="shared" si="23"/>
        <v>0</v>
      </c>
      <c r="U103" s="138">
        <v>1</v>
      </c>
      <c r="V103" s="112">
        <v>0.28688469999999999</v>
      </c>
    </row>
    <row r="104" spans="1:23" x14ac:dyDescent="0.25">
      <c r="A104" s="6">
        <v>68</v>
      </c>
      <c r="B104" s="6">
        <v>69</v>
      </c>
      <c r="C104" s="38">
        <f t="shared" si="32"/>
        <v>1.2201671983471074E-2</v>
      </c>
      <c r="D104" s="38">
        <f t="shared" si="33"/>
        <v>1.294199814876033E-2</v>
      </c>
      <c r="E104" s="38">
        <f t="shared" si="34"/>
        <v>1.4593473887107439E-5</v>
      </c>
      <c r="F104" s="32">
        <f t="shared" si="31"/>
        <v>20.195712416253109</v>
      </c>
      <c r="G104" s="8">
        <v>0</v>
      </c>
      <c r="H104" s="8">
        <v>0</v>
      </c>
      <c r="I104" s="8">
        <v>1</v>
      </c>
      <c r="J104" s="8">
        <v>0</v>
      </c>
      <c r="K104" s="8">
        <v>1</v>
      </c>
      <c r="L104" s="8">
        <v>-360</v>
      </c>
      <c r="M104" s="8">
        <v>360</v>
      </c>
      <c r="N104" s="112">
        <f t="shared" si="22"/>
        <v>0.66355160000000002</v>
      </c>
      <c r="O104" s="5" t="s">
        <v>73</v>
      </c>
      <c r="P104" s="5" t="s">
        <v>77</v>
      </c>
      <c r="Q104" s="14" t="s">
        <v>244</v>
      </c>
      <c r="R104" s="51">
        <v>22</v>
      </c>
      <c r="S104" s="103">
        <v>14.054646999999999</v>
      </c>
      <c r="T104" s="103">
        <f t="shared" si="23"/>
        <v>0</v>
      </c>
      <c r="U104" s="138">
        <v>1</v>
      </c>
      <c r="V104" s="112">
        <v>0.1658879</v>
      </c>
    </row>
    <row r="105" spans="1:23" x14ac:dyDescent="0.25">
      <c r="A105" s="6">
        <v>69</v>
      </c>
      <c r="B105" s="6">
        <v>70</v>
      </c>
      <c r="C105" s="38">
        <f t="shared" si="32"/>
        <v>1.0296270247933883E-2</v>
      </c>
      <c r="D105" s="38">
        <f t="shared" si="33"/>
        <v>1.0920987768595042E-2</v>
      </c>
      <c r="E105" s="38">
        <f t="shared" si="34"/>
        <v>1.231457059338843E-5</v>
      </c>
      <c r="F105" s="32">
        <f t="shared" si="31"/>
        <v>20.195712416253109</v>
      </c>
      <c r="G105" s="8">
        <v>0</v>
      </c>
      <c r="H105" s="8">
        <v>0</v>
      </c>
      <c r="I105" s="8">
        <v>1</v>
      </c>
      <c r="J105" s="8">
        <v>0</v>
      </c>
      <c r="K105" s="8">
        <v>1</v>
      </c>
      <c r="L105" s="8">
        <v>-360</v>
      </c>
      <c r="M105" s="8">
        <v>360</v>
      </c>
      <c r="N105" s="112">
        <f t="shared" si="22"/>
        <v>0.55993199999999999</v>
      </c>
      <c r="O105" s="5" t="s">
        <v>77</v>
      </c>
      <c r="P105" s="5" t="s">
        <v>78</v>
      </c>
      <c r="Q105" s="14" t="s">
        <v>244</v>
      </c>
      <c r="R105" s="51">
        <v>22</v>
      </c>
      <c r="S105" s="103">
        <v>14.021122999999999</v>
      </c>
      <c r="T105" s="103">
        <f t="shared" si="23"/>
        <v>0</v>
      </c>
      <c r="U105" s="138">
        <v>1</v>
      </c>
      <c r="V105" s="112">
        <v>0.139983</v>
      </c>
    </row>
    <row r="106" spans="1:23" x14ac:dyDescent="0.25">
      <c r="A106" s="6">
        <v>70</v>
      </c>
      <c r="B106" s="6">
        <v>71</v>
      </c>
      <c r="C106" s="38">
        <f t="shared" si="32"/>
        <v>9.5861826446280989E-4</v>
      </c>
      <c r="D106" s="38">
        <f t="shared" si="33"/>
        <v>1.0167816198347107E-3</v>
      </c>
      <c r="E106" s="38">
        <f t="shared" si="34"/>
        <v>1.1465289862809918E-6</v>
      </c>
      <c r="F106" s="32">
        <f t="shared" si="31"/>
        <v>20.195712416253109</v>
      </c>
      <c r="G106" s="8">
        <v>0</v>
      </c>
      <c r="H106" s="8">
        <v>0</v>
      </c>
      <c r="I106" s="8">
        <v>1</v>
      </c>
      <c r="J106" s="8">
        <v>0</v>
      </c>
      <c r="K106" s="8">
        <v>1</v>
      </c>
      <c r="L106" s="8">
        <v>-360</v>
      </c>
      <c r="M106" s="8">
        <v>360</v>
      </c>
      <c r="N106" s="112">
        <f t="shared" si="22"/>
        <v>5.21316E-2</v>
      </c>
      <c r="O106" s="5" t="s">
        <v>78</v>
      </c>
      <c r="P106" s="5" t="s">
        <v>79</v>
      </c>
      <c r="Q106" s="14" t="s">
        <v>244</v>
      </c>
      <c r="R106" s="51">
        <v>22</v>
      </c>
      <c r="S106" s="103">
        <v>10.000942</v>
      </c>
      <c r="T106" s="103">
        <f t="shared" si="23"/>
        <v>0</v>
      </c>
      <c r="U106" s="138">
        <v>1</v>
      </c>
      <c r="V106" s="112">
        <v>1.30329E-2</v>
      </c>
    </row>
    <row r="107" spans="1:23" x14ac:dyDescent="0.25">
      <c r="A107" s="6">
        <v>72</v>
      </c>
      <c r="B107" s="6">
        <v>73</v>
      </c>
      <c r="C107" s="38">
        <f t="shared" si="32"/>
        <v>1.183479338842975E-3</v>
      </c>
      <c r="D107" s="38">
        <f t="shared" si="33"/>
        <v>1.2552859504132232E-3</v>
      </c>
      <c r="E107" s="38">
        <f t="shared" si="34"/>
        <v>1.4154678842975208E-6</v>
      </c>
      <c r="F107" s="32">
        <f t="shared" si="31"/>
        <v>20.195712416253109</v>
      </c>
      <c r="G107" s="8">
        <v>0</v>
      </c>
      <c r="H107" s="8">
        <v>0</v>
      </c>
      <c r="I107" s="8">
        <v>1</v>
      </c>
      <c r="J107" s="8">
        <v>0</v>
      </c>
      <c r="K107" s="8">
        <v>1</v>
      </c>
      <c r="L107" s="8">
        <v>-360</v>
      </c>
      <c r="M107" s="8">
        <v>360</v>
      </c>
      <c r="N107" s="112">
        <f t="shared" si="22"/>
        <v>6.4360000000000001E-2</v>
      </c>
      <c r="O107" s="5" t="s">
        <v>70</v>
      </c>
      <c r="P107" s="5" t="s">
        <v>71</v>
      </c>
      <c r="Q107" s="14" t="s">
        <v>244</v>
      </c>
      <c r="R107" s="51">
        <v>22</v>
      </c>
      <c r="S107" s="103">
        <v>15.043837999999999</v>
      </c>
      <c r="T107" s="103">
        <f t="shared" si="23"/>
        <v>0</v>
      </c>
      <c r="U107" s="138">
        <v>1</v>
      </c>
      <c r="V107" s="112">
        <v>1.609E-2</v>
      </c>
    </row>
    <row r="108" spans="1:23" x14ac:dyDescent="0.25">
      <c r="A108" s="6">
        <v>73</v>
      </c>
      <c r="B108" s="6">
        <v>74</v>
      </c>
      <c r="C108" s="38">
        <f t="shared" si="32"/>
        <v>1.0071409173553718E-2</v>
      </c>
      <c r="D108" s="38">
        <f t="shared" si="33"/>
        <v>1.0682483438016529E-2</v>
      </c>
      <c r="E108" s="38">
        <f t="shared" si="34"/>
        <v>1.20456316953719E-5</v>
      </c>
      <c r="F108" s="32">
        <f t="shared" si="31"/>
        <v>20.195712416253109</v>
      </c>
      <c r="G108" s="8">
        <v>0</v>
      </c>
      <c r="H108" s="8">
        <v>0</v>
      </c>
      <c r="I108" s="8">
        <v>1</v>
      </c>
      <c r="J108" s="8">
        <v>0</v>
      </c>
      <c r="K108" s="8">
        <v>1</v>
      </c>
      <c r="L108" s="8">
        <v>-360</v>
      </c>
      <c r="M108" s="8">
        <v>360</v>
      </c>
      <c r="N108" s="112">
        <f t="shared" si="22"/>
        <v>0.54770359999999996</v>
      </c>
      <c r="O108" s="5" t="s">
        <v>71</v>
      </c>
      <c r="P108" s="5" t="s">
        <v>72</v>
      </c>
      <c r="Q108" s="14" t="s">
        <v>244</v>
      </c>
      <c r="R108" s="51">
        <v>22</v>
      </c>
      <c r="S108" s="103">
        <v>10.036502</v>
      </c>
      <c r="T108" s="103">
        <f t="shared" si="23"/>
        <v>0</v>
      </c>
      <c r="U108" s="138">
        <v>1</v>
      </c>
      <c r="V108" s="112">
        <v>0.13692589999999999</v>
      </c>
    </row>
    <row r="109" spans="1:23" x14ac:dyDescent="0.25">
      <c r="A109" s="6">
        <v>74</v>
      </c>
      <c r="B109" s="6">
        <v>75</v>
      </c>
      <c r="C109" s="38">
        <f t="shared" si="32"/>
        <v>1.3610012396694213E-2</v>
      </c>
      <c r="D109" s="38">
        <f t="shared" si="33"/>
        <v>1.4435788429752065E-2</v>
      </c>
      <c r="E109" s="38">
        <f t="shared" si="34"/>
        <v>1.6277880669421489E-5</v>
      </c>
      <c r="F109" s="32">
        <f t="shared" si="31"/>
        <v>20.195712416253109</v>
      </c>
      <c r="G109" s="8">
        <v>0</v>
      </c>
      <c r="H109" s="8">
        <v>0</v>
      </c>
      <c r="I109" s="8">
        <v>1</v>
      </c>
      <c r="J109" s="8">
        <v>0</v>
      </c>
      <c r="K109" s="8">
        <v>1</v>
      </c>
      <c r="L109" s="8">
        <v>-360</v>
      </c>
      <c r="M109" s="8">
        <v>360</v>
      </c>
      <c r="N109" s="112">
        <f t="shared" si="22"/>
        <v>0.74014000000000002</v>
      </c>
      <c r="O109" s="5" t="s">
        <v>72</v>
      </c>
      <c r="P109" s="5" t="s">
        <v>74</v>
      </c>
      <c r="Q109" s="14" t="s">
        <v>244</v>
      </c>
      <c r="R109" s="51">
        <v>22</v>
      </c>
      <c r="S109" s="103">
        <v>10.020208999999999</v>
      </c>
      <c r="T109" s="103">
        <f t="shared" si="23"/>
        <v>0</v>
      </c>
      <c r="U109" s="138">
        <v>1</v>
      </c>
      <c r="V109" s="112">
        <v>0.18503500000000001</v>
      </c>
    </row>
    <row r="110" spans="1:23" x14ac:dyDescent="0.25">
      <c r="A110" s="6">
        <v>75</v>
      </c>
      <c r="B110" s="6">
        <v>76</v>
      </c>
      <c r="C110" s="38">
        <f t="shared" si="32"/>
        <v>9.4086607438016532E-3</v>
      </c>
      <c r="D110" s="38">
        <f t="shared" si="33"/>
        <v>9.9795233057851235E-3</v>
      </c>
      <c r="E110" s="38">
        <f t="shared" si="34"/>
        <v>1.1252969680165289E-5</v>
      </c>
      <c r="F110" s="32">
        <f t="shared" si="31"/>
        <v>20.195712416253109</v>
      </c>
      <c r="G110" s="8">
        <v>0</v>
      </c>
      <c r="H110" s="8">
        <v>0</v>
      </c>
      <c r="I110" s="8">
        <v>1</v>
      </c>
      <c r="J110" s="8">
        <v>0</v>
      </c>
      <c r="K110" s="8">
        <v>1</v>
      </c>
      <c r="L110" s="8">
        <v>-360</v>
      </c>
      <c r="M110" s="8">
        <v>360</v>
      </c>
      <c r="N110" s="112">
        <f t="shared" si="22"/>
        <v>0.51166199999999995</v>
      </c>
      <c r="O110" s="5" t="s">
        <v>74</v>
      </c>
      <c r="P110" s="5" t="s">
        <v>75</v>
      </c>
      <c r="Q110" s="14" t="s">
        <v>244</v>
      </c>
      <c r="R110" s="51">
        <v>22</v>
      </c>
      <c r="S110" s="103">
        <v>7.0050889999999999</v>
      </c>
      <c r="T110" s="103">
        <f t="shared" si="23"/>
        <v>0</v>
      </c>
      <c r="U110" s="138">
        <v>1</v>
      </c>
      <c r="V110" s="112">
        <v>0.12791549999999999</v>
      </c>
    </row>
    <row r="111" spans="1:23" x14ac:dyDescent="0.25">
      <c r="A111" s="6">
        <v>76</v>
      </c>
      <c r="B111" s="6">
        <v>77</v>
      </c>
      <c r="C111" s="38">
        <f t="shared" si="32"/>
        <v>6.5446407438016531E-3</v>
      </c>
      <c r="D111" s="38">
        <f t="shared" si="33"/>
        <v>6.9417313057851242E-3</v>
      </c>
      <c r="E111" s="38">
        <f t="shared" si="34"/>
        <v>7.8275374001652902E-6</v>
      </c>
      <c r="F111" s="32">
        <f t="shared" si="31"/>
        <v>20.195712416253109</v>
      </c>
      <c r="G111" s="8">
        <v>0</v>
      </c>
      <c r="H111" s="8">
        <v>0</v>
      </c>
      <c r="I111" s="8">
        <v>1</v>
      </c>
      <c r="J111" s="8">
        <v>0</v>
      </c>
      <c r="K111" s="8">
        <v>1</v>
      </c>
      <c r="L111" s="8">
        <v>-360</v>
      </c>
      <c r="M111" s="8">
        <v>360</v>
      </c>
      <c r="N111" s="112">
        <f t="shared" si="22"/>
        <v>0.35591080000000003</v>
      </c>
      <c r="O111" s="5" t="s">
        <v>75</v>
      </c>
      <c r="P111" s="5" t="s">
        <v>76</v>
      </c>
      <c r="Q111" s="14" t="s">
        <v>244</v>
      </c>
      <c r="R111" s="51">
        <v>22</v>
      </c>
      <c r="S111" s="103">
        <v>3.0005796</v>
      </c>
      <c r="T111" s="103">
        <f t="shared" si="23"/>
        <v>0</v>
      </c>
      <c r="U111" s="138">
        <v>1</v>
      </c>
      <c r="V111" s="112">
        <v>8.8977700000000007E-2</v>
      </c>
    </row>
    <row r="112" spans="1:23" x14ac:dyDescent="0.25">
      <c r="A112" s="6">
        <v>78</v>
      </c>
      <c r="B112" s="6">
        <v>79</v>
      </c>
      <c r="C112" s="38">
        <f t="shared" si="32"/>
        <v>4.1185080991735529E-3</v>
      </c>
      <c r="D112" s="38">
        <f t="shared" si="33"/>
        <v>4.3683951074380166E-3</v>
      </c>
      <c r="E112" s="38">
        <f t="shared" si="34"/>
        <v>4.925828237355372E-6</v>
      </c>
      <c r="F112" s="32">
        <f t="shared" si="31"/>
        <v>20.195712416253109</v>
      </c>
      <c r="G112" s="8">
        <v>0</v>
      </c>
      <c r="H112" s="8">
        <v>0</v>
      </c>
      <c r="I112" s="8">
        <v>1</v>
      </c>
      <c r="J112" s="8">
        <v>0</v>
      </c>
      <c r="K112" s="8">
        <v>1</v>
      </c>
      <c r="L112" s="8">
        <v>-360</v>
      </c>
      <c r="M112" s="8">
        <v>360</v>
      </c>
      <c r="N112" s="112">
        <f t="shared" si="22"/>
        <v>0.22397279999999997</v>
      </c>
      <c r="O112" s="5" t="s">
        <v>65</v>
      </c>
      <c r="P112" s="5" t="s">
        <v>66</v>
      </c>
      <c r="Q112" s="14" t="s">
        <v>244</v>
      </c>
      <c r="R112" s="51">
        <v>22</v>
      </c>
      <c r="S112" s="103">
        <v>5.0007082</v>
      </c>
      <c r="T112" s="103">
        <f t="shared" si="23"/>
        <v>0</v>
      </c>
      <c r="U112" s="138">
        <v>1</v>
      </c>
      <c r="V112" s="112">
        <v>5.5993199999999993E-2</v>
      </c>
    </row>
    <row r="113" spans="1:23" x14ac:dyDescent="0.25">
      <c r="A113" s="6">
        <v>79</v>
      </c>
      <c r="B113" s="6">
        <v>80</v>
      </c>
      <c r="C113" s="38">
        <f t="shared" si="32"/>
        <v>6.7695018181818173E-3</v>
      </c>
      <c r="D113" s="38">
        <f t="shared" si="33"/>
        <v>7.1802356363636364E-3</v>
      </c>
      <c r="E113" s="38">
        <f t="shared" si="34"/>
        <v>8.0964762981818187E-6</v>
      </c>
      <c r="F113" s="32">
        <f t="shared" si="31"/>
        <v>20.195712416253109</v>
      </c>
      <c r="G113" s="8">
        <v>0</v>
      </c>
      <c r="H113" s="8">
        <v>0</v>
      </c>
      <c r="I113" s="8">
        <v>1</v>
      </c>
      <c r="J113" s="8">
        <v>0</v>
      </c>
      <c r="K113" s="8">
        <v>1</v>
      </c>
      <c r="L113" s="8">
        <v>-360</v>
      </c>
      <c r="M113" s="8">
        <v>360</v>
      </c>
      <c r="N113" s="112">
        <f t="shared" si="22"/>
        <v>0.3681392</v>
      </c>
      <c r="O113" s="5" t="s">
        <v>66</v>
      </c>
      <c r="P113" s="5" t="s">
        <v>68</v>
      </c>
      <c r="Q113" s="14" t="s">
        <v>244</v>
      </c>
      <c r="R113" s="51">
        <v>22</v>
      </c>
      <c r="S113" s="103">
        <v>4.9991732000000004</v>
      </c>
      <c r="T113" s="103">
        <f t="shared" si="23"/>
        <v>0</v>
      </c>
      <c r="U113" s="138">
        <v>1</v>
      </c>
      <c r="V113" s="112">
        <v>9.20348E-2</v>
      </c>
    </row>
    <row r="114" spans="1:23" x14ac:dyDescent="0.25">
      <c r="A114" s="6">
        <v>80</v>
      </c>
      <c r="B114" s="6">
        <v>81</v>
      </c>
      <c r="C114" s="38">
        <f t="shared" si="32"/>
        <v>1.4781656942148761E-2</v>
      </c>
      <c r="D114" s="38">
        <f t="shared" si="33"/>
        <v>1.5678521520661157E-2</v>
      </c>
      <c r="E114" s="38">
        <f t="shared" si="34"/>
        <v>1.7679193874876038E-5</v>
      </c>
      <c r="F114" s="32">
        <f t="shared" si="31"/>
        <v>20.195712416253109</v>
      </c>
      <c r="G114" s="8">
        <v>0</v>
      </c>
      <c r="H114" s="8">
        <v>0</v>
      </c>
      <c r="I114" s="8">
        <v>1</v>
      </c>
      <c r="J114" s="8">
        <v>0</v>
      </c>
      <c r="K114" s="8">
        <v>1</v>
      </c>
      <c r="L114" s="8">
        <v>-360</v>
      </c>
      <c r="M114" s="8">
        <v>360</v>
      </c>
      <c r="N114" s="112">
        <f t="shared" si="22"/>
        <v>0.80385640000000003</v>
      </c>
      <c r="O114" s="5" t="s">
        <v>68</v>
      </c>
      <c r="P114" s="5" t="s">
        <v>67</v>
      </c>
      <c r="Q114" s="14" t="s">
        <v>244</v>
      </c>
      <c r="R114" s="51">
        <v>22</v>
      </c>
      <c r="S114" s="103">
        <v>3.8965397999999999E-3</v>
      </c>
      <c r="T114" s="103">
        <f t="shared" si="23"/>
        <v>0</v>
      </c>
      <c r="U114" s="138">
        <v>1</v>
      </c>
      <c r="V114" s="112">
        <v>0.20096410000000001</v>
      </c>
    </row>
    <row r="115" spans="1:23" x14ac:dyDescent="0.25">
      <c r="A115" s="6">
        <v>81</v>
      </c>
      <c r="B115" s="6">
        <v>83</v>
      </c>
      <c r="C115" s="38">
        <f t="shared" si="32"/>
        <v>3.5374197438016529E-2</v>
      </c>
      <c r="D115" s="38">
        <f t="shared" si="33"/>
        <v>3.7520497057851238E-2</v>
      </c>
      <c r="E115" s="38">
        <f t="shared" si="34"/>
        <v>4.2308335061652891E-5</v>
      </c>
      <c r="F115" s="32">
        <f t="shared" si="31"/>
        <v>20.195712416253109</v>
      </c>
      <c r="G115" s="8">
        <v>0</v>
      </c>
      <c r="H115" s="8">
        <v>0</v>
      </c>
      <c r="I115" s="8">
        <v>1</v>
      </c>
      <c r="J115" s="8">
        <v>0</v>
      </c>
      <c r="K115" s="8">
        <v>1</v>
      </c>
      <c r="L115" s="8">
        <v>-360</v>
      </c>
      <c r="M115" s="8">
        <v>360</v>
      </c>
      <c r="N115" s="112">
        <f t="shared" si="22"/>
        <v>1.9237203999999999</v>
      </c>
      <c r="O115" s="5" t="s">
        <v>67</v>
      </c>
      <c r="P115" s="5" t="s">
        <v>82</v>
      </c>
      <c r="Q115" s="14" t="s">
        <v>244</v>
      </c>
      <c r="R115" s="51">
        <v>22</v>
      </c>
      <c r="S115" s="103">
        <v>1.4590785E-9</v>
      </c>
      <c r="T115" s="103">
        <f t="shared" si="23"/>
        <v>0</v>
      </c>
      <c r="U115" s="138">
        <v>1</v>
      </c>
      <c r="V115" s="112">
        <v>0.48093009999999997</v>
      </c>
    </row>
    <row r="116" spans="1:23" x14ac:dyDescent="0.25">
      <c r="A116" s="65">
        <v>97</v>
      </c>
      <c r="B116" s="65">
        <v>85</v>
      </c>
      <c r="C116" s="66">
        <f t="shared" si="32"/>
        <v>1.0515213925619835E-2</v>
      </c>
      <c r="D116" s="66">
        <f t="shared" si="33"/>
        <v>1.1153215669421488E-2</v>
      </c>
      <c r="E116" s="66">
        <f t="shared" si="34"/>
        <v>5.0305728607933888E-5</v>
      </c>
      <c r="F116" s="67">
        <f t="shared" si="31"/>
        <v>40.391424832506218</v>
      </c>
      <c r="G116" s="68">
        <v>0</v>
      </c>
      <c r="H116" s="68">
        <v>0</v>
      </c>
      <c r="I116" s="68">
        <v>1</v>
      </c>
      <c r="J116" s="68">
        <v>0</v>
      </c>
      <c r="K116" s="68">
        <v>1</v>
      </c>
      <c r="L116" s="68">
        <v>-360</v>
      </c>
      <c r="M116" s="68">
        <v>360</v>
      </c>
      <c r="N116" s="69">
        <f t="shared" si="22"/>
        <v>1.1436771999999999</v>
      </c>
      <c r="O116" s="5" t="s">
        <v>133</v>
      </c>
      <c r="P116" s="5" t="s">
        <v>137</v>
      </c>
      <c r="Q116" s="14" t="s">
        <v>244</v>
      </c>
      <c r="R116" s="51">
        <v>22</v>
      </c>
      <c r="S116" s="103">
        <v>1.0001011</v>
      </c>
      <c r="T116" s="103">
        <f t="shared" si="23"/>
        <v>0</v>
      </c>
      <c r="U116" s="138">
        <v>2</v>
      </c>
      <c r="V116" s="112">
        <v>0.28591929999999999</v>
      </c>
    </row>
    <row r="117" spans="1:23" x14ac:dyDescent="0.25">
      <c r="A117" s="65">
        <v>90</v>
      </c>
      <c r="B117" s="65">
        <v>92</v>
      </c>
      <c r="C117" s="66">
        <f t="shared" si="32"/>
        <v>3.8131704297520663E-2</v>
      </c>
      <c r="D117" s="66">
        <f t="shared" si="33"/>
        <v>4.0445313322314047E-2</v>
      </c>
      <c r="E117" s="66">
        <f t="shared" si="34"/>
        <v>1.8242550092826447E-4</v>
      </c>
      <c r="F117" s="67">
        <f t="shared" si="31"/>
        <v>40.391424832506218</v>
      </c>
      <c r="G117" s="68">
        <v>0</v>
      </c>
      <c r="H117" s="68">
        <v>0</v>
      </c>
      <c r="I117" s="68">
        <v>1</v>
      </c>
      <c r="J117" s="68">
        <v>0</v>
      </c>
      <c r="K117" s="68">
        <v>1</v>
      </c>
      <c r="L117" s="68">
        <v>-360</v>
      </c>
      <c r="M117" s="68">
        <v>360</v>
      </c>
      <c r="N117" s="69">
        <f t="shared" si="22"/>
        <v>4.1473583999999999</v>
      </c>
      <c r="O117" s="5" t="s">
        <v>103</v>
      </c>
      <c r="P117" s="5" t="s">
        <v>91</v>
      </c>
      <c r="Q117" s="14" t="s">
        <v>244</v>
      </c>
      <c r="R117" s="51">
        <v>22</v>
      </c>
      <c r="S117" s="103">
        <v>5.0141897000000002</v>
      </c>
      <c r="T117" s="103">
        <f t="shared" si="23"/>
        <v>0</v>
      </c>
      <c r="U117" s="138">
        <v>2</v>
      </c>
      <c r="V117" s="112">
        <v>1.0368396</v>
      </c>
    </row>
    <row r="118" spans="1:23" x14ac:dyDescent="0.25">
      <c r="A118" s="6">
        <v>86</v>
      </c>
      <c r="B118" s="6">
        <v>87</v>
      </c>
      <c r="C118" s="38">
        <f t="shared" si="32"/>
        <v>1.1006357851239667E-3</v>
      </c>
      <c r="D118" s="38">
        <f t="shared" si="33"/>
        <v>1.1674159338842974E-3</v>
      </c>
      <c r="E118" s="38">
        <f t="shared" si="34"/>
        <v>5.2655405295867768E-6</v>
      </c>
      <c r="F118" s="32">
        <f t="shared" si="31"/>
        <v>40.391424832506218</v>
      </c>
      <c r="G118" s="8">
        <v>0</v>
      </c>
      <c r="H118" s="8">
        <v>0</v>
      </c>
      <c r="I118" s="8">
        <v>1</v>
      </c>
      <c r="J118" s="8">
        <v>0</v>
      </c>
      <c r="K118" s="8">
        <v>1</v>
      </c>
      <c r="L118" s="8">
        <v>-360</v>
      </c>
      <c r="M118" s="8">
        <v>360</v>
      </c>
      <c r="N118" s="112">
        <f t="shared" si="22"/>
        <v>0.11970959999999999</v>
      </c>
      <c r="O118" s="5" t="s">
        <v>157</v>
      </c>
      <c r="P118" s="5" t="s">
        <v>156</v>
      </c>
      <c r="Q118" s="14" t="s">
        <v>244</v>
      </c>
      <c r="R118" s="51">
        <v>22</v>
      </c>
      <c r="S118" s="103">
        <v>5.0002801000000003</v>
      </c>
      <c r="T118" s="103">
        <f t="shared" si="23"/>
        <v>0</v>
      </c>
      <c r="U118" s="138">
        <v>2</v>
      </c>
      <c r="V118" s="112">
        <v>2.9927399999999996E-2</v>
      </c>
    </row>
    <row r="119" spans="1:23" x14ac:dyDescent="0.25">
      <c r="A119" s="65">
        <v>87</v>
      </c>
      <c r="B119" s="65">
        <v>91</v>
      </c>
      <c r="C119" s="66">
        <f t="shared" si="32"/>
        <v>1.9491735537190084E-2</v>
      </c>
      <c r="D119" s="66">
        <f t="shared" si="33"/>
        <v>2.0674380165289257E-2</v>
      </c>
      <c r="E119" s="66">
        <f t="shared" si="34"/>
        <v>9.3250214876033067E-5</v>
      </c>
      <c r="F119" s="67">
        <f t="shared" si="31"/>
        <v>40.391424832506218</v>
      </c>
      <c r="G119" s="68">
        <v>0</v>
      </c>
      <c r="H119" s="68">
        <v>0</v>
      </c>
      <c r="I119" s="68">
        <v>1</v>
      </c>
      <c r="J119" s="68">
        <v>0</v>
      </c>
      <c r="K119" s="68">
        <v>1</v>
      </c>
      <c r="L119" s="68">
        <v>-360</v>
      </c>
      <c r="M119" s="68">
        <v>360</v>
      </c>
      <c r="N119" s="69">
        <f t="shared" si="22"/>
        <v>2.12</v>
      </c>
      <c r="O119" s="5" t="s">
        <v>156</v>
      </c>
      <c r="P119" s="5" t="s">
        <v>90</v>
      </c>
      <c r="Q119" s="14" t="s">
        <v>244</v>
      </c>
      <c r="R119" s="51">
        <v>22</v>
      </c>
      <c r="S119" s="103">
        <v>5.0051842999999998</v>
      </c>
      <c r="T119" s="103">
        <f t="shared" si="23"/>
        <v>0</v>
      </c>
      <c r="U119" s="138">
        <v>2</v>
      </c>
      <c r="V119" s="112">
        <v>0.53</v>
      </c>
    </row>
    <row r="120" spans="1:23" x14ac:dyDescent="0.25">
      <c r="A120" s="65">
        <v>24</v>
      </c>
      <c r="B120" s="65">
        <v>89</v>
      </c>
      <c r="C120" s="66">
        <f t="shared" si="32"/>
        <v>1.9379474173553717E-2</v>
      </c>
      <c r="D120" s="66">
        <f t="shared" si="33"/>
        <v>2.0555307438016531E-2</v>
      </c>
      <c r="E120" s="66">
        <f t="shared" si="34"/>
        <v>9.271314642148761E-5</v>
      </c>
      <c r="F120" s="67">
        <f t="shared" si="31"/>
        <v>40.391424832506218</v>
      </c>
      <c r="G120" s="68">
        <v>0</v>
      </c>
      <c r="H120" s="68">
        <v>0</v>
      </c>
      <c r="I120" s="68">
        <v>1</v>
      </c>
      <c r="J120" s="68">
        <v>0</v>
      </c>
      <c r="K120" s="68">
        <v>1</v>
      </c>
      <c r="L120" s="68">
        <v>-360</v>
      </c>
      <c r="M120" s="68">
        <v>360</v>
      </c>
      <c r="N120" s="69">
        <f t="shared" si="22"/>
        <v>2.1077900000000001</v>
      </c>
      <c r="O120" s="5" t="s">
        <v>80</v>
      </c>
      <c r="P120" s="5" t="s">
        <v>100</v>
      </c>
      <c r="Q120" s="14" t="s">
        <v>244</v>
      </c>
      <c r="R120" s="51">
        <v>22</v>
      </c>
      <c r="S120" s="103">
        <v>35.327924000000003</v>
      </c>
      <c r="T120" s="103">
        <f t="shared" si="23"/>
        <v>0</v>
      </c>
      <c r="U120" s="138">
        <v>2</v>
      </c>
      <c r="V120" s="112">
        <v>0.52694750000000001</v>
      </c>
    </row>
    <row r="121" spans="1:23" x14ac:dyDescent="0.25">
      <c r="A121" s="6">
        <v>89</v>
      </c>
      <c r="B121" s="6">
        <v>90</v>
      </c>
      <c r="C121" s="38">
        <f t="shared" si="32"/>
        <v>9.4855869008264471E-3</v>
      </c>
      <c r="D121" s="38">
        <f t="shared" si="33"/>
        <v>1.0061116892561985E-2</v>
      </c>
      <c r="E121" s="38">
        <f t="shared" si="34"/>
        <v>4.5379900370578516E-5</v>
      </c>
      <c r="F121" s="32">
        <f t="shared" si="31"/>
        <v>40.391424832506218</v>
      </c>
      <c r="G121" s="8">
        <v>0</v>
      </c>
      <c r="H121" s="8">
        <v>0</v>
      </c>
      <c r="I121" s="8">
        <v>1</v>
      </c>
      <c r="J121" s="8">
        <v>0</v>
      </c>
      <c r="K121" s="8">
        <v>1</v>
      </c>
      <c r="L121" s="8">
        <v>-360</v>
      </c>
      <c r="M121" s="8">
        <v>360</v>
      </c>
      <c r="N121" s="112">
        <f t="shared" si="22"/>
        <v>1.0316908</v>
      </c>
      <c r="O121" s="5" t="s">
        <v>100</v>
      </c>
      <c r="P121" s="5" t="s">
        <v>103</v>
      </c>
      <c r="Q121" s="14" t="s">
        <v>244</v>
      </c>
      <c r="R121" s="51">
        <v>22</v>
      </c>
      <c r="S121" s="103">
        <v>23.062965999999999</v>
      </c>
      <c r="T121" s="103">
        <f t="shared" si="23"/>
        <v>0</v>
      </c>
      <c r="U121" s="138">
        <v>2</v>
      </c>
      <c r="V121" s="112">
        <v>0.2579227</v>
      </c>
    </row>
    <row r="122" spans="1:23" x14ac:dyDescent="0.25">
      <c r="A122" s="6">
        <v>91</v>
      </c>
      <c r="B122" s="6">
        <v>92</v>
      </c>
      <c r="C122" s="38">
        <f t="shared" si="32"/>
        <v>1.7988885950413224E-3</v>
      </c>
      <c r="D122" s="38">
        <f t="shared" si="33"/>
        <v>1.9080346446280992E-3</v>
      </c>
      <c r="E122" s="38">
        <f t="shared" si="34"/>
        <v>8.6060447365289263E-6</v>
      </c>
      <c r="F122" s="32">
        <f t="shared" si="31"/>
        <v>40.391424832506218</v>
      </c>
      <c r="G122" s="8">
        <v>0</v>
      </c>
      <c r="H122" s="8">
        <v>0</v>
      </c>
      <c r="I122" s="8">
        <v>1</v>
      </c>
      <c r="J122" s="8">
        <v>0</v>
      </c>
      <c r="K122" s="8">
        <v>1</v>
      </c>
      <c r="L122" s="8">
        <v>-360</v>
      </c>
      <c r="M122" s="8">
        <v>360</v>
      </c>
      <c r="N122" s="112">
        <f t="shared" ref="N122:N186" si="35">V122*$W$2</f>
        <v>0.19565440000000001</v>
      </c>
      <c r="O122" s="5" t="s">
        <v>90</v>
      </c>
      <c r="P122" s="5" t="s">
        <v>91</v>
      </c>
      <c r="Q122" s="14" t="s">
        <v>244</v>
      </c>
      <c r="R122" s="51">
        <v>22</v>
      </c>
      <c r="S122" s="103">
        <v>5.0046068999999997</v>
      </c>
      <c r="T122" s="103">
        <f t="shared" ref="T122:T185" si="36">IF(F122&lt;S122,1,0)</f>
        <v>0</v>
      </c>
      <c r="U122" s="138">
        <v>2</v>
      </c>
      <c r="V122" s="112">
        <v>4.8913600000000002E-2</v>
      </c>
    </row>
    <row r="123" spans="1:23" x14ac:dyDescent="0.25">
      <c r="A123" s="65">
        <v>93</v>
      </c>
      <c r="B123" s="65">
        <v>94</v>
      </c>
      <c r="C123" s="66">
        <f>$Y$8*N123/$AA$2/U123</f>
        <v>5.7814502835538746E-6</v>
      </c>
      <c r="D123" s="66">
        <f>$Z$8*N123/$AA$2/U123</f>
        <v>9.8837104514177683E-5</v>
      </c>
      <c r="E123" s="66">
        <f>$AA$8*N123/$AA$2*U123</f>
        <v>1.9364004149716445E-7</v>
      </c>
      <c r="F123" s="67">
        <f>U123*Z54</f>
        <v>1123.4081537891739</v>
      </c>
      <c r="G123" s="68">
        <v>0</v>
      </c>
      <c r="H123" s="68">
        <v>0</v>
      </c>
      <c r="I123" s="68">
        <v>1</v>
      </c>
      <c r="J123" s="68">
        <v>0</v>
      </c>
      <c r="K123" s="68">
        <v>1</v>
      </c>
      <c r="L123" s="68">
        <v>-360</v>
      </c>
      <c r="M123" s="68">
        <v>360</v>
      </c>
      <c r="N123" s="69">
        <f t="shared" si="35"/>
        <v>0.67964159999999996</v>
      </c>
      <c r="O123" s="5" t="s">
        <v>184</v>
      </c>
      <c r="P123" s="5" t="s">
        <v>196</v>
      </c>
      <c r="Q123" s="14" t="s">
        <v>244</v>
      </c>
      <c r="R123" s="50">
        <v>230</v>
      </c>
      <c r="S123" s="103">
        <v>862.67659000000003</v>
      </c>
      <c r="T123" s="103">
        <f t="shared" si="36"/>
        <v>0</v>
      </c>
      <c r="U123" s="138">
        <v>2</v>
      </c>
      <c r="V123" s="112">
        <v>0.16991039999999999</v>
      </c>
    </row>
    <row r="124" spans="1:23" x14ac:dyDescent="0.25">
      <c r="A124" s="6">
        <v>25</v>
      </c>
      <c r="B124" s="6">
        <v>95</v>
      </c>
      <c r="C124" s="38">
        <f t="shared" si="32"/>
        <v>4.4132231404958679E-2</v>
      </c>
      <c r="D124" s="38">
        <f t="shared" si="33"/>
        <v>4.6809917355371898E-2</v>
      </c>
      <c r="E124" s="38">
        <f t="shared" si="34"/>
        <v>5.2783140495867774E-5</v>
      </c>
      <c r="F124" s="32">
        <f t="shared" si="31"/>
        <v>20.195712416253109</v>
      </c>
      <c r="G124" s="8">
        <v>0</v>
      </c>
      <c r="H124" s="8">
        <v>0</v>
      </c>
      <c r="I124" s="8">
        <v>1</v>
      </c>
      <c r="J124" s="8">
        <v>0</v>
      </c>
      <c r="K124" s="8">
        <v>1</v>
      </c>
      <c r="L124" s="8">
        <v>-360</v>
      </c>
      <c r="M124" s="8">
        <v>360</v>
      </c>
      <c r="N124" s="112">
        <f t="shared" si="35"/>
        <v>2.4</v>
      </c>
      <c r="O124" s="5" t="s">
        <v>122</v>
      </c>
      <c r="P124" s="5" t="s">
        <v>198</v>
      </c>
      <c r="Q124" s="14" t="s">
        <v>244</v>
      </c>
      <c r="R124" s="51">
        <v>22</v>
      </c>
      <c r="S124" s="103">
        <v>4.0061359000000003</v>
      </c>
      <c r="T124" s="103">
        <f t="shared" si="36"/>
        <v>0</v>
      </c>
      <c r="U124" s="138">
        <v>1</v>
      </c>
      <c r="V124" s="112">
        <v>0.6</v>
      </c>
      <c r="W124" t="s">
        <v>275</v>
      </c>
    </row>
    <row r="125" spans="1:23" x14ac:dyDescent="0.25">
      <c r="A125" s="6">
        <v>95</v>
      </c>
      <c r="B125" s="6">
        <v>96</v>
      </c>
      <c r="C125" s="38">
        <f t="shared" si="32"/>
        <v>1.4414778347107438E-2</v>
      </c>
      <c r="D125" s="38">
        <f t="shared" si="33"/>
        <v>1.5289382876033059E-2</v>
      </c>
      <c r="E125" s="38">
        <f t="shared" si="34"/>
        <v>1.7240398830743805E-5</v>
      </c>
      <c r="F125" s="32">
        <f t="shared" si="31"/>
        <v>20.195712416253109</v>
      </c>
      <c r="G125" s="8">
        <v>0</v>
      </c>
      <c r="H125" s="8">
        <v>0</v>
      </c>
      <c r="I125" s="8">
        <v>1</v>
      </c>
      <c r="J125" s="8">
        <v>0</v>
      </c>
      <c r="K125" s="8">
        <v>1</v>
      </c>
      <c r="L125" s="8">
        <v>-360</v>
      </c>
      <c r="M125" s="8">
        <v>360</v>
      </c>
      <c r="N125" s="112">
        <f t="shared" si="35"/>
        <v>0.78390480000000007</v>
      </c>
      <c r="O125" s="5" t="s">
        <v>198</v>
      </c>
      <c r="P125" s="5" t="s">
        <v>197</v>
      </c>
      <c r="Q125" s="14" t="s">
        <v>244</v>
      </c>
      <c r="R125" s="51">
        <v>22</v>
      </c>
      <c r="S125" s="103">
        <v>9.8757202000000004E-11</v>
      </c>
      <c r="T125" s="103">
        <f t="shared" si="36"/>
        <v>0</v>
      </c>
      <c r="U125" s="138">
        <v>1</v>
      </c>
      <c r="V125" s="112">
        <v>0.19597620000000002</v>
      </c>
    </row>
    <row r="126" spans="1:23" x14ac:dyDescent="0.25">
      <c r="A126" s="6">
        <v>97</v>
      </c>
      <c r="B126" s="6">
        <v>100</v>
      </c>
      <c r="C126" s="38">
        <f t="shared" ref="C126:C158" si="37">$Y$6*N126/$Y$2/U126</f>
        <v>2.8456760702479336E-2</v>
      </c>
      <c r="D126" s="38">
        <f t="shared" ref="D126:D158" si="38">$Z$6*N126/$Y$2/U126</f>
        <v>3.018335067768595E-2</v>
      </c>
      <c r="E126" s="38">
        <f t="shared" ref="E126:E158" si="39">$AA$6*N126/$Y$2*U126</f>
        <v>1.3613970111173553E-4</v>
      </c>
      <c r="F126" s="32">
        <f t="shared" si="31"/>
        <v>40.391424832506218</v>
      </c>
      <c r="G126" s="8">
        <v>0</v>
      </c>
      <c r="H126" s="8">
        <v>0</v>
      </c>
      <c r="I126" s="8">
        <v>1</v>
      </c>
      <c r="J126" s="8">
        <v>0</v>
      </c>
      <c r="K126" s="8">
        <v>1</v>
      </c>
      <c r="L126" s="8">
        <v>-360</v>
      </c>
      <c r="M126" s="8">
        <v>360</v>
      </c>
      <c r="N126" s="112">
        <f t="shared" si="35"/>
        <v>3.0950723999999998</v>
      </c>
      <c r="O126" s="5" t="s">
        <v>133</v>
      </c>
      <c r="P126" s="5" t="s">
        <v>149</v>
      </c>
      <c r="Q126" s="14" t="s">
        <v>244</v>
      </c>
      <c r="R126" s="51">
        <v>22</v>
      </c>
      <c r="S126" s="103">
        <v>18.104631000000001</v>
      </c>
      <c r="T126" s="103">
        <f t="shared" si="36"/>
        <v>0</v>
      </c>
      <c r="U126" s="138">
        <v>2</v>
      </c>
      <c r="V126" s="112">
        <v>0.77376809999999996</v>
      </c>
    </row>
    <row r="127" spans="1:23" x14ac:dyDescent="0.25">
      <c r="A127" s="6">
        <v>97</v>
      </c>
      <c r="B127" s="6">
        <v>98</v>
      </c>
      <c r="C127" s="38">
        <f t="shared" si="37"/>
        <v>1.6036145041322312E-2</v>
      </c>
      <c r="D127" s="38">
        <f t="shared" si="38"/>
        <v>1.7009124628099174E-2</v>
      </c>
      <c r="E127" s="38">
        <f t="shared" si="39"/>
        <v>1.9179589832231407E-5</v>
      </c>
      <c r="F127" s="32">
        <f t="shared" si="31"/>
        <v>20.195712416253109</v>
      </c>
      <c r="G127" s="8">
        <v>0</v>
      </c>
      <c r="H127" s="8">
        <v>0</v>
      </c>
      <c r="I127" s="8">
        <v>1</v>
      </c>
      <c r="J127" s="8">
        <v>0</v>
      </c>
      <c r="K127" s="8">
        <v>1</v>
      </c>
      <c r="L127" s="8">
        <v>-360</v>
      </c>
      <c r="M127" s="8">
        <v>360</v>
      </c>
      <c r="N127" s="112">
        <f t="shared" si="35"/>
        <v>0.87207800000000002</v>
      </c>
      <c r="O127" s="5" t="s">
        <v>133</v>
      </c>
      <c r="P127" s="5" t="s">
        <v>119</v>
      </c>
      <c r="Q127" s="14" t="s">
        <v>244</v>
      </c>
      <c r="R127" s="51">
        <v>22</v>
      </c>
      <c r="S127" s="103">
        <v>12.027520000000001</v>
      </c>
      <c r="T127" s="103">
        <f t="shared" si="36"/>
        <v>0</v>
      </c>
      <c r="U127" s="138">
        <v>1</v>
      </c>
      <c r="V127" s="112">
        <v>0.2180195</v>
      </c>
    </row>
    <row r="128" spans="1:23" x14ac:dyDescent="0.25">
      <c r="A128" s="6">
        <v>98</v>
      </c>
      <c r="B128" s="6">
        <v>99</v>
      </c>
      <c r="C128" s="38">
        <f t="shared" si="37"/>
        <v>3.751629504132231E-3</v>
      </c>
      <c r="D128" s="38">
        <f t="shared" si="38"/>
        <v>3.9792564628099167E-3</v>
      </c>
      <c r="E128" s="38">
        <f t="shared" si="39"/>
        <v>4.4870331932231407E-6</v>
      </c>
      <c r="F128" s="32">
        <f t="shared" si="31"/>
        <v>20.195712416253109</v>
      </c>
      <c r="G128" s="8">
        <v>0</v>
      </c>
      <c r="H128" s="8">
        <v>0</v>
      </c>
      <c r="I128" s="8">
        <v>1</v>
      </c>
      <c r="J128" s="8">
        <v>0</v>
      </c>
      <c r="K128" s="8">
        <v>1</v>
      </c>
      <c r="L128" s="8">
        <v>-360</v>
      </c>
      <c r="M128" s="8">
        <v>360</v>
      </c>
      <c r="N128" s="112">
        <f t="shared" si="35"/>
        <v>0.20402119999999999</v>
      </c>
      <c r="O128" s="5" t="s">
        <v>119</v>
      </c>
      <c r="P128" s="5" t="s">
        <v>137</v>
      </c>
      <c r="Q128" s="14" t="s">
        <v>244</v>
      </c>
      <c r="R128" s="51">
        <v>22</v>
      </c>
      <c r="S128" s="103">
        <v>10.003702000000001</v>
      </c>
      <c r="T128" s="103">
        <f t="shared" si="36"/>
        <v>0</v>
      </c>
      <c r="U128" s="138">
        <v>1</v>
      </c>
      <c r="V128" s="112">
        <v>5.1005299999999996E-2</v>
      </c>
    </row>
    <row r="129" spans="1:22" x14ac:dyDescent="0.25">
      <c r="A129" s="6">
        <v>100</v>
      </c>
      <c r="B129" s="6">
        <v>101</v>
      </c>
      <c r="C129" s="38">
        <f t="shared" si="37"/>
        <v>3.751629504132231E-3</v>
      </c>
      <c r="D129" s="38">
        <f t="shared" si="38"/>
        <v>3.9792564628099167E-3</v>
      </c>
      <c r="E129" s="38">
        <f t="shared" si="39"/>
        <v>1.7948132772892563E-5</v>
      </c>
      <c r="F129" s="32">
        <f t="shared" si="31"/>
        <v>40.391424832506218</v>
      </c>
      <c r="G129" s="8">
        <v>0</v>
      </c>
      <c r="H129" s="8">
        <v>0</v>
      </c>
      <c r="I129" s="8">
        <v>1</v>
      </c>
      <c r="J129" s="8">
        <v>0</v>
      </c>
      <c r="K129" s="8">
        <v>1</v>
      </c>
      <c r="L129" s="8">
        <v>-360</v>
      </c>
      <c r="M129" s="8">
        <v>360</v>
      </c>
      <c r="N129" s="112">
        <f t="shared" si="35"/>
        <v>0.40804239999999997</v>
      </c>
      <c r="O129" s="5" t="s">
        <v>149</v>
      </c>
      <c r="P129" s="5" t="s">
        <v>151</v>
      </c>
      <c r="Q129" s="14" t="s">
        <v>244</v>
      </c>
      <c r="R129" s="51">
        <v>22</v>
      </c>
      <c r="S129" s="103">
        <v>15.010685</v>
      </c>
      <c r="T129" s="103">
        <f t="shared" si="36"/>
        <v>0</v>
      </c>
      <c r="U129" s="138">
        <v>2</v>
      </c>
      <c r="V129" s="112">
        <v>0.10201059999999999</v>
      </c>
    </row>
    <row r="130" spans="1:22" x14ac:dyDescent="0.25">
      <c r="A130" s="6">
        <v>101</v>
      </c>
      <c r="B130" s="6">
        <v>102</v>
      </c>
      <c r="C130" s="38">
        <f t="shared" si="37"/>
        <v>4.3374517768595047E-3</v>
      </c>
      <c r="D130" s="38">
        <f t="shared" si="38"/>
        <v>4.6006230082644628E-3</v>
      </c>
      <c r="E130" s="38">
        <f t="shared" si="39"/>
        <v>2.0750759183801656E-5</v>
      </c>
      <c r="F130" s="32">
        <f t="shared" si="31"/>
        <v>40.391424832506218</v>
      </c>
      <c r="G130" s="8">
        <v>0</v>
      </c>
      <c r="H130" s="8">
        <v>0</v>
      </c>
      <c r="I130" s="8">
        <v>1</v>
      </c>
      <c r="J130" s="8">
        <v>0</v>
      </c>
      <c r="K130" s="8">
        <v>1</v>
      </c>
      <c r="L130" s="8">
        <v>-360</v>
      </c>
      <c r="M130" s="8">
        <v>360</v>
      </c>
      <c r="N130" s="112">
        <f t="shared" si="35"/>
        <v>0.47175880000000003</v>
      </c>
      <c r="O130" s="5" t="s">
        <v>151</v>
      </c>
      <c r="P130" s="5" t="s">
        <v>152</v>
      </c>
      <c r="Q130" s="14" t="s">
        <v>244</v>
      </c>
      <c r="R130" s="51">
        <v>22</v>
      </c>
      <c r="S130" s="103">
        <v>7.0021003000000004</v>
      </c>
      <c r="T130" s="103">
        <f t="shared" si="36"/>
        <v>0</v>
      </c>
      <c r="U130" s="138">
        <v>2</v>
      </c>
      <c r="V130" s="112">
        <v>0.11793970000000001</v>
      </c>
    </row>
    <row r="131" spans="1:22" x14ac:dyDescent="0.25">
      <c r="A131" s="117">
        <v>17</v>
      </c>
      <c r="B131" s="117">
        <v>104</v>
      </c>
      <c r="C131" s="118">
        <f>$Y$7*N131/$Z$2/U131</f>
        <v>3.3057851239669419E-4</v>
      </c>
      <c r="D131" s="118">
        <f>$Z$7*N131/$Z$2/U131</f>
        <v>5.4207529843893478E-3</v>
      </c>
      <c r="E131" s="118">
        <f>$AA$7*N131/$Z$2*U131</f>
        <v>2.2605693296602383E-5</v>
      </c>
      <c r="F131" s="119">
        <f>U131*$Z$40</f>
        <v>297.21991857881932</v>
      </c>
      <c r="G131" s="120">
        <v>0</v>
      </c>
      <c r="H131" s="120">
        <v>0</v>
      </c>
      <c r="I131" s="120">
        <v>1</v>
      </c>
      <c r="J131" s="120">
        <v>0</v>
      </c>
      <c r="K131" s="120">
        <v>1</v>
      </c>
      <c r="L131" s="120">
        <v>-360</v>
      </c>
      <c r="M131" s="120">
        <v>360</v>
      </c>
      <c r="N131" s="121">
        <f t="shared" si="35"/>
        <v>3.2</v>
      </c>
      <c r="O131" s="5" t="s">
        <v>59</v>
      </c>
      <c r="P131" s="5" t="s">
        <v>118</v>
      </c>
      <c r="Q131" s="14" t="s">
        <v>244</v>
      </c>
      <c r="R131" s="49">
        <v>66</v>
      </c>
      <c r="S131" s="103">
        <v>226.34022999999999</v>
      </c>
      <c r="T131" s="103">
        <f t="shared" si="36"/>
        <v>0</v>
      </c>
      <c r="U131" s="138">
        <v>2</v>
      </c>
      <c r="V131" s="112">
        <v>0.8</v>
      </c>
    </row>
    <row r="132" spans="1:22" x14ac:dyDescent="0.25">
      <c r="A132" s="117">
        <v>104</v>
      </c>
      <c r="B132" s="117">
        <v>16</v>
      </c>
      <c r="C132" s="118">
        <f>$Y$7*N132/$Z$2/U132</f>
        <v>3.3057851239669419E-4</v>
      </c>
      <c r="D132" s="118">
        <f>$Z$7*N132/$Z$2/U132</f>
        <v>5.4207529843893478E-3</v>
      </c>
      <c r="E132" s="118">
        <f>$AA$7*N132/$Z$2*U132</f>
        <v>2.2605693296602383E-5</v>
      </c>
      <c r="F132" s="119">
        <f>U132*$Z$40</f>
        <v>297.21991857881932</v>
      </c>
      <c r="G132" s="120">
        <v>0</v>
      </c>
      <c r="H132" s="120">
        <v>0</v>
      </c>
      <c r="I132" s="120">
        <v>1</v>
      </c>
      <c r="J132" s="120">
        <v>0</v>
      </c>
      <c r="K132" s="120">
        <v>1</v>
      </c>
      <c r="L132" s="120">
        <v>-360</v>
      </c>
      <c r="M132" s="120">
        <v>360</v>
      </c>
      <c r="N132" s="121">
        <f t="shared" si="35"/>
        <v>3.2</v>
      </c>
      <c r="O132" s="5" t="s">
        <v>118</v>
      </c>
      <c r="P132" s="5" t="s">
        <v>53</v>
      </c>
      <c r="Q132" s="14" t="s">
        <v>244</v>
      </c>
      <c r="R132" s="49">
        <v>66</v>
      </c>
      <c r="S132" s="103">
        <v>293.69398999999999</v>
      </c>
      <c r="T132" s="103">
        <f t="shared" si="36"/>
        <v>0</v>
      </c>
      <c r="U132" s="138">
        <v>2</v>
      </c>
      <c r="V132" s="112">
        <v>0.8</v>
      </c>
    </row>
    <row r="133" spans="1:22" x14ac:dyDescent="0.25">
      <c r="A133" s="117">
        <v>103</v>
      </c>
      <c r="B133" s="117">
        <v>105</v>
      </c>
      <c r="C133" s="118">
        <f t="shared" ref="C133" si="40">$Y$6*N133/$Y$2/U133</f>
        <v>7.3553719008264467E-3</v>
      </c>
      <c r="D133" s="118">
        <f t="shared" ref="D133" si="41">$Z$6*N133/$Y$2/U133</f>
        <v>7.8016528925619845E-3</v>
      </c>
      <c r="E133" s="118">
        <f t="shared" ref="E133" si="42">$AA$6*N133/$Y$2*U133</f>
        <v>8.797190082644629E-6</v>
      </c>
      <c r="F133" s="119">
        <f t="shared" ref="F133" si="43">U133*$Z$20</f>
        <v>20.195712416253109</v>
      </c>
      <c r="G133" s="120">
        <v>0</v>
      </c>
      <c r="H133" s="120">
        <v>0</v>
      </c>
      <c r="I133" s="120">
        <v>1</v>
      </c>
      <c r="J133" s="120">
        <v>0</v>
      </c>
      <c r="K133" s="120">
        <v>1</v>
      </c>
      <c r="L133" s="120">
        <v>-360</v>
      </c>
      <c r="M133" s="120">
        <v>360</v>
      </c>
      <c r="N133" s="121">
        <f t="shared" ref="N133" si="44">V133*$W$2</f>
        <v>0.4</v>
      </c>
      <c r="O133" s="5" t="s">
        <v>105</v>
      </c>
      <c r="P133" s="5" t="s">
        <v>119</v>
      </c>
      <c r="Q133" s="14" t="s">
        <v>244</v>
      </c>
      <c r="R133" s="51">
        <v>22</v>
      </c>
      <c r="S133" s="103">
        <v>8.0047865999999992</v>
      </c>
      <c r="T133" s="103">
        <f t="shared" si="36"/>
        <v>0</v>
      </c>
      <c r="U133" s="138">
        <v>1</v>
      </c>
      <c r="V133" s="112">
        <v>0.1</v>
      </c>
    </row>
    <row r="134" spans="1:22" x14ac:dyDescent="0.25">
      <c r="A134" s="6">
        <v>105</v>
      </c>
      <c r="B134" s="6">
        <v>106</v>
      </c>
      <c r="C134" s="38">
        <f t="shared" si="37"/>
        <v>3.6806207438016525E-3</v>
      </c>
      <c r="D134" s="38">
        <f t="shared" si="38"/>
        <v>3.9039393057851237E-3</v>
      </c>
      <c r="E134" s="38">
        <f t="shared" si="39"/>
        <v>4.4021051201652897E-6</v>
      </c>
      <c r="F134" s="32">
        <f t="shared" si="31"/>
        <v>20.195712416253109</v>
      </c>
      <c r="G134" s="8">
        <v>0</v>
      </c>
      <c r="H134" s="8">
        <v>0</v>
      </c>
      <c r="I134" s="8">
        <v>1</v>
      </c>
      <c r="J134" s="8">
        <v>0</v>
      </c>
      <c r="K134" s="8">
        <v>1</v>
      </c>
      <c r="L134" s="8">
        <v>-360</v>
      </c>
      <c r="M134" s="8">
        <v>360</v>
      </c>
      <c r="N134" s="112">
        <f t="shared" si="35"/>
        <v>0.20015959999999999</v>
      </c>
      <c r="O134" s="5" t="s">
        <v>119</v>
      </c>
      <c r="P134" s="5" t="s">
        <v>120</v>
      </c>
      <c r="Q134" s="14" t="s">
        <v>244</v>
      </c>
      <c r="R134" s="51">
        <v>22</v>
      </c>
      <c r="S134" s="103">
        <v>3.9997479</v>
      </c>
      <c r="T134" s="103">
        <f t="shared" si="36"/>
        <v>0</v>
      </c>
      <c r="U134" s="138">
        <v>1</v>
      </c>
      <c r="V134" s="112">
        <v>5.0039899999999998E-2</v>
      </c>
    </row>
    <row r="135" spans="1:22" x14ac:dyDescent="0.25">
      <c r="A135" s="6">
        <v>106</v>
      </c>
      <c r="B135" s="6">
        <v>107</v>
      </c>
      <c r="C135" s="38">
        <f t="shared" si="37"/>
        <v>3.6806207438016525E-3</v>
      </c>
      <c r="D135" s="38">
        <f t="shared" si="38"/>
        <v>3.9039393057851237E-3</v>
      </c>
      <c r="E135" s="38">
        <f t="shared" si="39"/>
        <v>4.4021051201652897E-6</v>
      </c>
      <c r="F135" s="32">
        <f t="shared" si="31"/>
        <v>20.195712416253109</v>
      </c>
      <c r="G135" s="8">
        <v>0</v>
      </c>
      <c r="H135" s="8">
        <v>0</v>
      </c>
      <c r="I135" s="8">
        <v>1</v>
      </c>
      <c r="J135" s="8">
        <v>0</v>
      </c>
      <c r="K135" s="8">
        <v>1</v>
      </c>
      <c r="L135" s="8">
        <v>-360</v>
      </c>
      <c r="M135" s="8">
        <v>360</v>
      </c>
      <c r="N135" s="112">
        <f t="shared" si="35"/>
        <v>0.20015959999999999</v>
      </c>
      <c r="O135" s="5" t="s">
        <v>120</v>
      </c>
      <c r="P135" s="5" t="s">
        <v>121</v>
      </c>
      <c r="Q135" s="14" t="s">
        <v>244</v>
      </c>
      <c r="R135" s="51">
        <v>22</v>
      </c>
      <c r="S135" s="103">
        <v>3.0003460999999998</v>
      </c>
      <c r="T135" s="103">
        <f t="shared" si="36"/>
        <v>0</v>
      </c>
      <c r="U135" s="138">
        <v>1</v>
      </c>
      <c r="V135" s="112">
        <v>5.0039899999999998E-2</v>
      </c>
    </row>
    <row r="136" spans="1:22" x14ac:dyDescent="0.25">
      <c r="A136" s="6">
        <v>108</v>
      </c>
      <c r="B136" s="6">
        <v>109</v>
      </c>
      <c r="C136" s="38">
        <f t="shared" si="37"/>
        <v>8.5328860330578498E-3</v>
      </c>
      <c r="D136" s="38">
        <f t="shared" si="38"/>
        <v>9.0506117024793387E-3</v>
      </c>
      <c r="E136" s="38">
        <f t="shared" si="39"/>
        <v>1.0205523445785124E-5</v>
      </c>
      <c r="F136" s="32">
        <f t="shared" si="31"/>
        <v>20.195712416253109</v>
      </c>
      <c r="G136" s="8">
        <v>0</v>
      </c>
      <c r="H136" s="8">
        <v>0</v>
      </c>
      <c r="I136" s="8">
        <v>1</v>
      </c>
      <c r="J136" s="8">
        <v>0</v>
      </c>
      <c r="K136" s="8">
        <v>1</v>
      </c>
      <c r="L136" s="8">
        <v>-360</v>
      </c>
      <c r="M136" s="8">
        <v>360</v>
      </c>
      <c r="N136" s="112">
        <f t="shared" si="35"/>
        <v>0.46403559999999999</v>
      </c>
      <c r="O136" s="5" t="s">
        <v>111</v>
      </c>
      <c r="P136" s="5" t="s">
        <v>131</v>
      </c>
      <c r="Q136" s="14" t="s">
        <v>244</v>
      </c>
      <c r="R136" s="51">
        <v>22</v>
      </c>
      <c r="S136" s="103">
        <v>3.0008884999999998</v>
      </c>
      <c r="T136" s="103">
        <f t="shared" si="36"/>
        <v>0</v>
      </c>
      <c r="U136" s="138">
        <v>1</v>
      </c>
      <c r="V136" s="112">
        <v>0.1160089</v>
      </c>
    </row>
    <row r="137" spans="1:22" x14ac:dyDescent="0.25">
      <c r="A137" s="6">
        <v>109</v>
      </c>
      <c r="B137" s="6">
        <v>110</v>
      </c>
      <c r="C137" s="38">
        <f t="shared" si="37"/>
        <v>3.4273561652892567E-2</v>
      </c>
      <c r="D137" s="38">
        <f t="shared" si="38"/>
        <v>3.6353081123966943E-2</v>
      </c>
      <c r="E137" s="38">
        <f t="shared" si="39"/>
        <v>4.0991949929256208E-5</v>
      </c>
      <c r="F137" s="32">
        <f t="shared" si="31"/>
        <v>20.195712416253109</v>
      </c>
      <c r="G137" s="8">
        <v>0</v>
      </c>
      <c r="H137" s="8">
        <v>0</v>
      </c>
      <c r="I137" s="8">
        <v>1</v>
      </c>
      <c r="J137" s="8">
        <v>0</v>
      </c>
      <c r="K137" s="8">
        <v>1</v>
      </c>
      <c r="L137" s="8">
        <v>-360</v>
      </c>
      <c r="M137" s="8">
        <v>360</v>
      </c>
      <c r="N137" s="112">
        <f t="shared" si="35"/>
        <v>1.8638656000000002</v>
      </c>
      <c r="O137" s="5" t="s">
        <v>131</v>
      </c>
      <c r="P137" s="5" t="s">
        <v>141</v>
      </c>
      <c r="Q137" s="14" t="s">
        <v>244</v>
      </c>
      <c r="R137" s="51">
        <v>22</v>
      </c>
      <c r="S137" s="103">
        <v>2.0009011000000001</v>
      </c>
      <c r="T137" s="103">
        <f t="shared" si="36"/>
        <v>0</v>
      </c>
      <c r="U137" s="138">
        <v>1</v>
      </c>
      <c r="V137" s="112">
        <v>0.46596640000000006</v>
      </c>
    </row>
    <row r="138" spans="1:22" x14ac:dyDescent="0.25">
      <c r="A138" s="117">
        <v>17</v>
      </c>
      <c r="B138" s="117">
        <v>112</v>
      </c>
      <c r="C138" s="118">
        <f>$Y$7*N138/$Z$2/U138</f>
        <v>3.3057851239669419E-4</v>
      </c>
      <c r="D138" s="118">
        <f>$Z$7*N138/$Z$2/U138</f>
        <v>5.4207529843893478E-3</v>
      </c>
      <c r="E138" s="118">
        <f>$AA$7*N138/$Z$2*U138</f>
        <v>5.6514233241505958E-6</v>
      </c>
      <c r="F138" s="119">
        <f>U138*$Z$40</f>
        <v>148.60995928940966</v>
      </c>
      <c r="G138" s="120">
        <v>0</v>
      </c>
      <c r="H138" s="120">
        <v>0</v>
      </c>
      <c r="I138" s="120">
        <v>1</v>
      </c>
      <c r="J138" s="120">
        <v>0</v>
      </c>
      <c r="K138" s="120">
        <v>1</v>
      </c>
      <c r="L138" s="120">
        <v>-360</v>
      </c>
      <c r="M138" s="120">
        <v>360</v>
      </c>
      <c r="N138" s="121">
        <f t="shared" si="35"/>
        <v>1.6</v>
      </c>
      <c r="O138" s="5" t="s">
        <v>131</v>
      </c>
      <c r="P138" s="5" t="s">
        <v>148</v>
      </c>
      <c r="Q138" s="14" t="s">
        <v>244</v>
      </c>
      <c r="R138" s="49">
        <v>66</v>
      </c>
      <c r="S138" s="103">
        <v>87.127885000000006</v>
      </c>
      <c r="T138" s="103">
        <f t="shared" si="36"/>
        <v>0</v>
      </c>
      <c r="U138" s="138">
        <v>1</v>
      </c>
      <c r="V138" s="112">
        <v>0.4</v>
      </c>
    </row>
    <row r="139" spans="1:22" ht="17.25" customHeight="1" x14ac:dyDescent="0.25">
      <c r="A139" s="6">
        <v>110</v>
      </c>
      <c r="B139" s="6">
        <v>111</v>
      </c>
      <c r="C139" s="38">
        <f t="shared" si="37"/>
        <v>1.8095399090909091E-2</v>
      </c>
      <c r="D139" s="38">
        <f t="shared" si="38"/>
        <v>1.9193322181818181E-2</v>
      </c>
      <c r="E139" s="38">
        <f t="shared" si="39"/>
        <v>2.1642503950909093E-5</v>
      </c>
      <c r="F139" s="32">
        <f t="shared" si="31"/>
        <v>20.195712416253109</v>
      </c>
      <c r="G139" s="8">
        <v>0</v>
      </c>
      <c r="H139" s="8">
        <v>0</v>
      </c>
      <c r="I139" s="8">
        <v>1</v>
      </c>
      <c r="J139" s="8">
        <v>0</v>
      </c>
      <c r="K139" s="8">
        <v>1</v>
      </c>
      <c r="L139" s="8">
        <v>-360</v>
      </c>
      <c r="M139" s="8">
        <v>360</v>
      </c>
      <c r="N139" s="112">
        <f t="shared" si="35"/>
        <v>0.98406440000000006</v>
      </c>
      <c r="O139" s="5" t="s">
        <v>141</v>
      </c>
      <c r="P139" s="5" t="s">
        <v>143</v>
      </c>
      <c r="Q139" s="14" t="s">
        <v>244</v>
      </c>
      <c r="R139" s="51">
        <v>22</v>
      </c>
      <c r="S139" s="103">
        <v>1.0001884999999999</v>
      </c>
      <c r="T139" s="103">
        <f t="shared" si="36"/>
        <v>0</v>
      </c>
      <c r="U139" s="138">
        <v>1</v>
      </c>
      <c r="V139" s="112">
        <v>0.24601610000000002</v>
      </c>
    </row>
    <row r="140" spans="1:22" x14ac:dyDescent="0.25">
      <c r="A140" s="117">
        <v>112</v>
      </c>
      <c r="B140" s="117">
        <v>113</v>
      </c>
      <c r="C140" s="118">
        <f>$Y$7*N140/$Z$2/U140</f>
        <v>7.9386198347107431E-5</v>
      </c>
      <c r="D140" s="118">
        <f>$Z$7*N140/$Z$2/U140</f>
        <v>1.3017572391184572E-3</v>
      </c>
      <c r="E140" s="118">
        <f>$AA$7*N140/$Z$2*U140</f>
        <v>1.3571511641873275E-6</v>
      </c>
      <c r="F140" s="119">
        <f>U140*$Z$40</f>
        <v>148.60995928940966</v>
      </c>
      <c r="G140" s="120">
        <v>0</v>
      </c>
      <c r="H140" s="120">
        <v>0</v>
      </c>
      <c r="I140" s="120">
        <v>1</v>
      </c>
      <c r="J140" s="120">
        <v>0</v>
      </c>
      <c r="K140" s="120">
        <v>1</v>
      </c>
      <c r="L140" s="120">
        <v>-360</v>
      </c>
      <c r="M140" s="120">
        <v>360</v>
      </c>
      <c r="N140" s="121">
        <f t="shared" si="35"/>
        <v>0.38422919999999999</v>
      </c>
      <c r="O140" s="5" t="s">
        <v>148</v>
      </c>
      <c r="P140" s="5" t="s">
        <v>153</v>
      </c>
      <c r="Q140" s="14" t="s">
        <v>244</v>
      </c>
      <c r="R140" s="49">
        <v>66</v>
      </c>
      <c r="S140" s="103">
        <v>87.054936999999995</v>
      </c>
      <c r="T140" s="103">
        <f t="shared" si="36"/>
        <v>0</v>
      </c>
      <c r="U140" s="138">
        <v>1</v>
      </c>
      <c r="V140" s="112">
        <v>9.6057299999999998E-2</v>
      </c>
    </row>
    <row r="141" spans="1:22" x14ac:dyDescent="0.25">
      <c r="A141" s="117">
        <v>113</v>
      </c>
      <c r="B141" s="117">
        <v>114</v>
      </c>
      <c r="C141" s="118">
        <f>$Y$7*N141/$Z$2/U141</f>
        <v>5.7179338842975191E-6</v>
      </c>
      <c r="D141" s="118">
        <f>$Z$7*N141/$Z$2/U141</f>
        <v>9.376140918273644E-5</v>
      </c>
      <c r="E141" s="118">
        <f>$AA$7*N141/$Z$2*U141</f>
        <v>9.7751256382001816E-8</v>
      </c>
      <c r="F141" s="119">
        <f>U141*$Z$40</f>
        <v>148.60995928940966</v>
      </c>
      <c r="G141" s="120">
        <v>0</v>
      </c>
      <c r="H141" s="120">
        <v>0</v>
      </c>
      <c r="I141" s="120">
        <v>1</v>
      </c>
      <c r="J141" s="120">
        <v>0</v>
      </c>
      <c r="K141" s="120">
        <v>1</v>
      </c>
      <c r="L141" s="120">
        <v>-360</v>
      </c>
      <c r="M141" s="120">
        <v>360</v>
      </c>
      <c r="N141" s="121">
        <f t="shared" si="35"/>
        <v>2.7674799999999999E-2</v>
      </c>
      <c r="O141" s="5" t="s">
        <v>153</v>
      </c>
      <c r="P141" s="5" t="s">
        <v>154</v>
      </c>
      <c r="Q141" s="14" t="s">
        <v>244</v>
      </c>
      <c r="R141" s="49">
        <v>66</v>
      </c>
      <c r="S141" s="103">
        <v>74.046668999999994</v>
      </c>
      <c r="T141" s="103">
        <f t="shared" si="36"/>
        <v>0</v>
      </c>
      <c r="U141" s="138">
        <v>1</v>
      </c>
      <c r="V141" s="112">
        <v>6.9186999999999999E-3</v>
      </c>
    </row>
    <row r="142" spans="1:22" x14ac:dyDescent="0.25">
      <c r="A142" s="117">
        <v>114</v>
      </c>
      <c r="B142" s="117">
        <v>115</v>
      </c>
      <c r="C142" s="118">
        <f>$Y$7*N142/$Z$2/U142</f>
        <v>1.4215049586776857E-4</v>
      </c>
      <c r="D142" s="118">
        <f>$Z$7*N142/$Z$2/U142</f>
        <v>2.3309522422405872E-3</v>
      </c>
      <c r="E142" s="118">
        <f>$AA$7*N142/$Z$2*U142</f>
        <v>2.4301416993572078E-6</v>
      </c>
      <c r="F142" s="119">
        <f>U142*$Z$40</f>
        <v>148.60995928940966</v>
      </c>
      <c r="G142" s="120">
        <v>0</v>
      </c>
      <c r="H142" s="120">
        <v>0</v>
      </c>
      <c r="I142" s="120">
        <v>1</v>
      </c>
      <c r="J142" s="120">
        <v>0</v>
      </c>
      <c r="K142" s="120">
        <v>1</v>
      </c>
      <c r="L142" s="120">
        <v>-360</v>
      </c>
      <c r="M142" s="120">
        <v>360</v>
      </c>
      <c r="N142" s="121">
        <f t="shared" si="35"/>
        <v>0.68800839999999996</v>
      </c>
      <c r="O142" s="5" t="s">
        <v>154</v>
      </c>
      <c r="P142" s="5" t="s">
        <v>158</v>
      </c>
      <c r="Q142" s="14" t="s">
        <v>244</v>
      </c>
      <c r="R142" s="49">
        <v>66</v>
      </c>
      <c r="S142" s="103">
        <v>57.010316000000003</v>
      </c>
      <c r="T142" s="103">
        <f t="shared" si="36"/>
        <v>0</v>
      </c>
      <c r="U142" s="138">
        <v>1</v>
      </c>
      <c r="V142" s="112">
        <v>0.17200209999999999</v>
      </c>
    </row>
    <row r="143" spans="1:22" x14ac:dyDescent="0.25">
      <c r="A143" s="65">
        <v>139</v>
      </c>
      <c r="B143" s="65">
        <v>119</v>
      </c>
      <c r="C143" s="66">
        <f t="shared" si="37"/>
        <v>1.3018272727272727E-2</v>
      </c>
      <c r="D143" s="66">
        <f t="shared" si="38"/>
        <v>1.3808145454545454E-2</v>
      </c>
      <c r="E143" s="66">
        <f t="shared" si="39"/>
        <v>6.2280586909090914E-5</v>
      </c>
      <c r="F143" s="67">
        <f t="shared" si="31"/>
        <v>40.391424832506218</v>
      </c>
      <c r="G143" s="68">
        <v>0</v>
      </c>
      <c r="H143" s="68">
        <v>0</v>
      </c>
      <c r="I143" s="68">
        <v>1</v>
      </c>
      <c r="J143" s="68">
        <v>0</v>
      </c>
      <c r="K143" s="68">
        <v>1</v>
      </c>
      <c r="L143" s="68">
        <v>-360</v>
      </c>
      <c r="M143" s="68">
        <v>360</v>
      </c>
      <c r="N143" s="69">
        <f t="shared" si="35"/>
        <v>1.4159200000000001</v>
      </c>
      <c r="O143" s="5" t="s">
        <v>136</v>
      </c>
      <c r="P143" s="5" t="s">
        <v>162</v>
      </c>
      <c r="Q143" s="14" t="s">
        <v>244</v>
      </c>
      <c r="R143" s="51">
        <v>22</v>
      </c>
      <c r="S143" s="103">
        <v>22.530828</v>
      </c>
      <c r="T143" s="103">
        <f t="shared" si="36"/>
        <v>0</v>
      </c>
      <c r="U143" s="138">
        <v>2</v>
      </c>
      <c r="V143" s="112">
        <v>0.35398000000000002</v>
      </c>
    </row>
    <row r="144" spans="1:22" x14ac:dyDescent="0.25">
      <c r="A144" s="65">
        <v>119</v>
      </c>
      <c r="B144" s="65">
        <v>120</v>
      </c>
      <c r="C144" s="66">
        <f t="shared" si="37"/>
        <v>1.0438287768595043E-2</v>
      </c>
      <c r="D144" s="66">
        <f t="shared" si="38"/>
        <v>1.1071622082644629E-2</v>
      </c>
      <c r="E144" s="66">
        <f t="shared" si="39"/>
        <v>1.2484426739504134E-5</v>
      </c>
      <c r="F144" s="67">
        <f t="shared" si="31"/>
        <v>20.195712416253109</v>
      </c>
      <c r="G144" s="68">
        <v>0</v>
      </c>
      <c r="H144" s="68">
        <v>0</v>
      </c>
      <c r="I144" s="68">
        <v>1</v>
      </c>
      <c r="J144" s="68">
        <v>0</v>
      </c>
      <c r="K144" s="68">
        <v>1</v>
      </c>
      <c r="L144" s="68">
        <v>-360</v>
      </c>
      <c r="M144" s="68">
        <v>360</v>
      </c>
      <c r="N144" s="69">
        <f t="shared" si="35"/>
        <v>0.56765520000000003</v>
      </c>
      <c r="O144" s="5" t="s">
        <v>162</v>
      </c>
      <c r="P144" s="5" t="s">
        <v>161</v>
      </c>
      <c r="Q144" s="14" t="s">
        <v>244</v>
      </c>
      <c r="R144" s="51">
        <v>22</v>
      </c>
      <c r="S144" s="103">
        <v>6.4566490999999999</v>
      </c>
      <c r="T144" s="103">
        <f t="shared" si="36"/>
        <v>0</v>
      </c>
      <c r="U144" s="138">
        <v>1</v>
      </c>
      <c r="V144" s="112">
        <v>0.14191380000000001</v>
      </c>
    </row>
    <row r="145" spans="1:22" x14ac:dyDescent="0.25">
      <c r="A145" s="117">
        <v>115</v>
      </c>
      <c r="B145" s="117">
        <v>118</v>
      </c>
      <c r="C145" s="118">
        <f>$Y$7*N145/$Z$2/U145</f>
        <v>8.8428512396694208E-5</v>
      </c>
      <c r="D145" s="118">
        <f>$Z$7*N145/$Z$2/U145</f>
        <v>1.4500310955004592E-3</v>
      </c>
      <c r="E145" s="118">
        <f>$AA$7*N145/$Z$2*U145</f>
        <v>1.5117345463728188E-6</v>
      </c>
      <c r="F145" s="119">
        <f>U145*$Z$40</f>
        <v>148.60995928940966</v>
      </c>
      <c r="G145" s="120">
        <v>0</v>
      </c>
      <c r="H145" s="120">
        <v>0</v>
      </c>
      <c r="I145" s="120">
        <v>1</v>
      </c>
      <c r="J145" s="120">
        <v>0</v>
      </c>
      <c r="K145" s="120">
        <v>1</v>
      </c>
      <c r="L145" s="120">
        <v>-360</v>
      </c>
      <c r="M145" s="120">
        <v>360</v>
      </c>
      <c r="N145" s="121">
        <f t="shared" si="35"/>
        <v>0.42799400000000004</v>
      </c>
      <c r="O145" s="5" t="s">
        <v>158</v>
      </c>
      <c r="P145" s="5" t="s">
        <v>163</v>
      </c>
      <c r="Q145" s="14" t="s">
        <v>244</v>
      </c>
      <c r="R145" s="49">
        <v>66</v>
      </c>
      <c r="S145" s="103">
        <v>31.000854</v>
      </c>
      <c r="T145" s="103">
        <f t="shared" si="36"/>
        <v>0</v>
      </c>
      <c r="U145" s="138">
        <v>1</v>
      </c>
      <c r="V145" s="112">
        <v>0.10699850000000001</v>
      </c>
    </row>
    <row r="146" spans="1:22" x14ac:dyDescent="0.25">
      <c r="A146" s="117">
        <v>115</v>
      </c>
      <c r="B146" s="117">
        <v>117</v>
      </c>
      <c r="C146" s="118">
        <f t="shared" ref="C146:C147" si="45">$Y$7*N146/$Z$2/U146</f>
        <v>7.5130991735537179E-5</v>
      </c>
      <c r="D146" s="118">
        <f t="shared" ref="D146:D147" si="46">$Z$7*N146/$Z$2/U146</f>
        <v>1.2319813067033975E-3</v>
      </c>
      <c r="E146" s="118">
        <f t="shared" ref="E146:E147" si="47">$AA$7*N146/$Z$2*U146</f>
        <v>1.2844060431588612E-6</v>
      </c>
      <c r="F146" s="119">
        <f t="shared" ref="F146:F147" si="48">U146*$Z$40</f>
        <v>148.60995928940966</v>
      </c>
      <c r="G146" s="120">
        <v>0</v>
      </c>
      <c r="H146" s="120">
        <v>0</v>
      </c>
      <c r="I146" s="120">
        <v>1</v>
      </c>
      <c r="J146" s="120">
        <v>0</v>
      </c>
      <c r="K146" s="120">
        <v>1</v>
      </c>
      <c r="L146" s="120">
        <v>-360</v>
      </c>
      <c r="M146" s="120">
        <v>360</v>
      </c>
      <c r="N146" s="121">
        <f t="shared" si="35"/>
        <v>0.36363400000000001</v>
      </c>
      <c r="O146" s="5" t="s">
        <v>158</v>
      </c>
      <c r="P146" s="5" t="s">
        <v>160</v>
      </c>
      <c r="Q146" s="14" t="s">
        <v>244</v>
      </c>
      <c r="R146" s="49">
        <v>66</v>
      </c>
      <c r="S146" s="103">
        <v>6.0000268999999999</v>
      </c>
      <c r="T146" s="103">
        <f t="shared" si="36"/>
        <v>0</v>
      </c>
      <c r="U146" s="138">
        <v>1</v>
      </c>
      <c r="V146" s="112">
        <v>9.0908500000000003E-2</v>
      </c>
    </row>
    <row r="147" spans="1:22" x14ac:dyDescent="0.25">
      <c r="A147" s="117">
        <v>115</v>
      </c>
      <c r="B147" s="117">
        <v>116</v>
      </c>
      <c r="C147" s="118">
        <f t="shared" si="45"/>
        <v>6.3562148760330564E-5</v>
      </c>
      <c r="D147" s="118">
        <f t="shared" si="46"/>
        <v>1.0422779904499539E-3</v>
      </c>
      <c r="E147" s="118">
        <f t="shared" si="47"/>
        <v>1.0866302453627177E-6</v>
      </c>
      <c r="F147" s="119">
        <f t="shared" si="48"/>
        <v>148.60995928940966</v>
      </c>
      <c r="G147" s="120">
        <v>0</v>
      </c>
      <c r="H147" s="120">
        <v>0</v>
      </c>
      <c r="I147" s="120">
        <v>1</v>
      </c>
      <c r="J147" s="120">
        <v>0</v>
      </c>
      <c r="K147" s="120">
        <v>1</v>
      </c>
      <c r="L147" s="120">
        <v>-360</v>
      </c>
      <c r="M147" s="120">
        <v>360</v>
      </c>
      <c r="N147" s="121">
        <f t="shared" si="35"/>
        <v>0.30764079999999999</v>
      </c>
      <c r="O147" s="5" t="s">
        <v>158</v>
      </c>
      <c r="P147" s="5" t="s">
        <v>159</v>
      </c>
      <c r="Q147" s="14" t="s">
        <v>244</v>
      </c>
      <c r="R147" s="49">
        <v>66</v>
      </c>
      <c r="S147" s="103">
        <v>5.0000157999999999</v>
      </c>
      <c r="T147" s="103">
        <f t="shared" si="36"/>
        <v>0</v>
      </c>
      <c r="U147" s="138">
        <v>1</v>
      </c>
      <c r="V147" s="112">
        <v>7.6910199999999998E-2</v>
      </c>
    </row>
    <row r="148" spans="1:22" x14ac:dyDescent="0.25">
      <c r="A148" s="6">
        <v>121</v>
      </c>
      <c r="B148" s="6">
        <v>122</v>
      </c>
      <c r="C148" s="38">
        <f t="shared" si="37"/>
        <v>2.2071889669421489E-3</v>
      </c>
      <c r="D148" s="38">
        <f t="shared" si="38"/>
        <v>2.3411082975206611E-3</v>
      </c>
      <c r="E148" s="38">
        <f t="shared" si="39"/>
        <v>4.2237561667438019E-5</v>
      </c>
      <c r="F148" s="32">
        <f t="shared" si="31"/>
        <v>80.782849665012435</v>
      </c>
      <c r="G148" s="8">
        <v>0</v>
      </c>
      <c r="H148" s="8">
        <v>0</v>
      </c>
      <c r="I148" s="8">
        <v>1</v>
      </c>
      <c r="J148" s="8">
        <v>0</v>
      </c>
      <c r="K148" s="8">
        <v>1</v>
      </c>
      <c r="L148" s="8">
        <v>-360</v>
      </c>
      <c r="M148" s="8">
        <v>360</v>
      </c>
      <c r="N148" s="112">
        <f t="shared" si="35"/>
        <v>0.48012559999999999</v>
      </c>
      <c r="O148" s="5" t="s">
        <v>110</v>
      </c>
      <c r="P148" s="5" t="s">
        <v>124</v>
      </c>
      <c r="Q148" s="14" t="s">
        <v>244</v>
      </c>
      <c r="R148" s="51">
        <v>22</v>
      </c>
      <c r="S148" s="103">
        <v>62.273167000000001</v>
      </c>
      <c r="T148" s="103">
        <f t="shared" si="36"/>
        <v>0</v>
      </c>
      <c r="U148" s="138">
        <v>4</v>
      </c>
      <c r="V148" s="112">
        <v>0.1200314</v>
      </c>
    </row>
    <row r="149" spans="1:22" x14ac:dyDescent="0.25">
      <c r="A149" s="6">
        <v>122</v>
      </c>
      <c r="B149" s="6">
        <v>123</v>
      </c>
      <c r="C149" s="38">
        <f t="shared" si="37"/>
        <v>6.6274842975206608E-4</v>
      </c>
      <c r="D149" s="38">
        <f t="shared" si="38"/>
        <v>7.0296013223140495E-4</v>
      </c>
      <c r="E149" s="38">
        <f t="shared" si="39"/>
        <v>1.2682592243305785E-5</v>
      </c>
      <c r="F149" s="32">
        <f t="shared" si="31"/>
        <v>80.782849665012435</v>
      </c>
      <c r="G149" s="8">
        <v>0</v>
      </c>
      <c r="H149" s="8">
        <v>0</v>
      </c>
      <c r="I149" s="8">
        <v>1</v>
      </c>
      <c r="J149" s="8">
        <v>0</v>
      </c>
      <c r="K149" s="8">
        <v>1</v>
      </c>
      <c r="L149" s="8">
        <v>-360</v>
      </c>
      <c r="M149" s="8">
        <v>360</v>
      </c>
      <c r="N149" s="112">
        <f t="shared" si="35"/>
        <v>0.1441664</v>
      </c>
      <c r="O149" s="5" t="s">
        <v>124</v>
      </c>
      <c r="P149" s="5" t="s">
        <v>128</v>
      </c>
      <c r="Q149" s="14" t="s">
        <v>244</v>
      </c>
      <c r="R149" s="51">
        <v>22</v>
      </c>
      <c r="S149" s="103">
        <v>55.173136999999997</v>
      </c>
      <c r="T149" s="103">
        <f t="shared" si="36"/>
        <v>0</v>
      </c>
      <c r="U149" s="138">
        <v>4</v>
      </c>
      <c r="V149" s="112">
        <v>3.60416E-2</v>
      </c>
    </row>
    <row r="150" spans="1:22" x14ac:dyDescent="0.25">
      <c r="A150" s="6">
        <v>123</v>
      </c>
      <c r="B150" s="6">
        <v>124</v>
      </c>
      <c r="C150" s="38">
        <f t="shared" si="37"/>
        <v>1.8604295206611571E-2</v>
      </c>
      <c r="D150" s="38">
        <f t="shared" si="38"/>
        <v>1.9733095140495871E-2</v>
      </c>
      <c r="E150" s="38">
        <f t="shared" si="39"/>
        <v>8.9004620564628117E-5</v>
      </c>
      <c r="F150" s="32">
        <f t="shared" si="31"/>
        <v>40.391424832506218</v>
      </c>
      <c r="G150" s="8">
        <v>0</v>
      </c>
      <c r="H150" s="8">
        <v>0</v>
      </c>
      <c r="I150" s="8">
        <v>1</v>
      </c>
      <c r="J150" s="8">
        <v>0</v>
      </c>
      <c r="K150" s="8">
        <v>1</v>
      </c>
      <c r="L150" s="8">
        <v>-360</v>
      </c>
      <c r="M150" s="8">
        <v>360</v>
      </c>
      <c r="N150" s="112">
        <f t="shared" si="35"/>
        <v>2.0234784000000001</v>
      </c>
      <c r="O150" s="5" t="s">
        <v>128</v>
      </c>
      <c r="P150" s="5" t="s">
        <v>138</v>
      </c>
      <c r="Q150" s="14" t="s">
        <v>244</v>
      </c>
      <c r="R150" s="51">
        <v>22</v>
      </c>
      <c r="S150" s="103">
        <v>19.119899</v>
      </c>
      <c r="T150" s="103">
        <f t="shared" si="36"/>
        <v>0</v>
      </c>
      <c r="U150" s="138">
        <v>2</v>
      </c>
      <c r="V150" s="112">
        <v>0.50586960000000003</v>
      </c>
    </row>
    <row r="151" spans="1:22" x14ac:dyDescent="0.25">
      <c r="A151" s="6">
        <v>124</v>
      </c>
      <c r="B151" s="6">
        <v>126</v>
      </c>
      <c r="C151" s="38">
        <f t="shared" si="37"/>
        <v>2.0225661900826444E-2</v>
      </c>
      <c r="D151" s="38">
        <f t="shared" si="38"/>
        <v>2.1452836892561986E-2</v>
      </c>
      <c r="E151" s="38">
        <f t="shared" si="39"/>
        <v>2.4190346142644628E-5</v>
      </c>
      <c r="F151" s="32">
        <f t="shared" si="31"/>
        <v>20.195712416253109</v>
      </c>
      <c r="G151" s="8">
        <v>0</v>
      </c>
      <c r="H151" s="8">
        <v>0</v>
      </c>
      <c r="I151" s="8">
        <v>1</v>
      </c>
      <c r="J151" s="8">
        <v>0</v>
      </c>
      <c r="K151" s="8">
        <v>1</v>
      </c>
      <c r="L151" s="8">
        <v>-360</v>
      </c>
      <c r="M151" s="8">
        <v>360</v>
      </c>
      <c r="N151" s="112">
        <f t="shared" si="35"/>
        <v>1.0999124</v>
      </c>
      <c r="O151" s="5" t="s">
        <v>138</v>
      </c>
      <c r="P151" s="5" t="s">
        <v>144</v>
      </c>
      <c r="Q151" s="14" t="s">
        <v>244</v>
      </c>
      <c r="R151" s="51">
        <v>22</v>
      </c>
      <c r="S151" s="103">
        <v>12.031207</v>
      </c>
      <c r="T151" s="103">
        <f t="shared" si="36"/>
        <v>0</v>
      </c>
      <c r="U151" s="138">
        <v>1</v>
      </c>
      <c r="V151" s="112">
        <v>0.2749781</v>
      </c>
    </row>
    <row r="152" spans="1:22" x14ac:dyDescent="0.25">
      <c r="A152" s="6">
        <v>124</v>
      </c>
      <c r="B152" s="6">
        <v>125</v>
      </c>
      <c r="C152" s="38">
        <f t="shared" si="37"/>
        <v>1.0888009917355371E-2</v>
      </c>
      <c r="D152" s="38">
        <f t="shared" si="38"/>
        <v>1.1548630743801653E-2</v>
      </c>
      <c r="E152" s="38">
        <f t="shared" si="39"/>
        <v>1.3022304535537191E-5</v>
      </c>
      <c r="F152" s="32">
        <f t="shared" si="31"/>
        <v>20.195712416253109</v>
      </c>
      <c r="G152" s="8">
        <v>0</v>
      </c>
      <c r="H152" s="8">
        <v>0</v>
      </c>
      <c r="I152" s="8">
        <v>1</v>
      </c>
      <c r="J152" s="8">
        <v>0</v>
      </c>
      <c r="K152" s="8">
        <v>1</v>
      </c>
      <c r="L152" s="8">
        <v>-360</v>
      </c>
      <c r="M152" s="8">
        <v>360</v>
      </c>
      <c r="N152" s="112">
        <f t="shared" si="35"/>
        <v>0.59211199999999997</v>
      </c>
      <c r="O152" s="5" t="s">
        <v>138</v>
      </c>
      <c r="P152" s="5" t="s">
        <v>139</v>
      </c>
      <c r="Q152" s="14" t="s">
        <v>244</v>
      </c>
      <c r="R152" s="51">
        <v>22</v>
      </c>
      <c r="S152" s="103">
        <v>4.0018763999999996</v>
      </c>
      <c r="T152" s="103">
        <f t="shared" si="36"/>
        <v>0</v>
      </c>
      <c r="U152" s="138">
        <v>1</v>
      </c>
      <c r="V152" s="112">
        <v>0.14802799999999999</v>
      </c>
    </row>
    <row r="153" spans="1:22" x14ac:dyDescent="0.25">
      <c r="A153" s="6">
        <v>127</v>
      </c>
      <c r="B153" s="6">
        <v>128</v>
      </c>
      <c r="C153" s="38">
        <f t="shared" si="37"/>
        <v>1.0858422933884297E-3</v>
      </c>
      <c r="D153" s="38">
        <f t="shared" si="38"/>
        <v>1.1517248595041324E-3</v>
      </c>
      <c r="E153" s="38">
        <f t="shared" si="39"/>
        <v>2.0779068541487605E-5</v>
      </c>
      <c r="F153" s="32">
        <f t="shared" si="31"/>
        <v>80.782849665012435</v>
      </c>
      <c r="G153" s="8">
        <v>0</v>
      </c>
      <c r="H153" s="8">
        <v>0</v>
      </c>
      <c r="I153" s="8">
        <v>1</v>
      </c>
      <c r="J153" s="8">
        <v>0</v>
      </c>
      <c r="K153" s="8">
        <v>1</v>
      </c>
      <c r="L153" s="8">
        <v>-360</v>
      </c>
      <c r="M153" s="8">
        <v>360</v>
      </c>
      <c r="N153" s="112">
        <f t="shared" si="35"/>
        <v>0.23620120000000003</v>
      </c>
      <c r="O153" s="5" t="s">
        <v>106</v>
      </c>
      <c r="P153" s="5" t="s">
        <v>108</v>
      </c>
      <c r="Q153" s="14" t="s">
        <v>244</v>
      </c>
      <c r="R153" s="51">
        <v>22</v>
      </c>
      <c r="S153" s="103">
        <v>46.297600000000003</v>
      </c>
      <c r="T153" s="103">
        <f t="shared" si="36"/>
        <v>0</v>
      </c>
      <c r="U153" s="138">
        <v>4</v>
      </c>
      <c r="V153" s="112">
        <v>5.9050300000000007E-2</v>
      </c>
    </row>
    <row r="154" spans="1:22" x14ac:dyDescent="0.25">
      <c r="A154" s="6">
        <v>128</v>
      </c>
      <c r="B154" s="6">
        <v>129</v>
      </c>
      <c r="C154" s="38">
        <f t="shared" si="37"/>
        <v>4.2427734297520663E-2</v>
      </c>
      <c r="D154" s="38">
        <f t="shared" si="38"/>
        <v>4.500200132231405E-2</v>
      </c>
      <c r="E154" s="38">
        <f t="shared" si="39"/>
        <v>5.074452365206612E-5</v>
      </c>
      <c r="F154" s="32">
        <f t="shared" si="31"/>
        <v>20.195712416253109</v>
      </c>
      <c r="G154" s="8">
        <v>0</v>
      </c>
      <c r="H154" s="8">
        <v>0</v>
      </c>
      <c r="I154" s="8">
        <v>1</v>
      </c>
      <c r="J154" s="8">
        <v>0</v>
      </c>
      <c r="K154" s="8">
        <v>1</v>
      </c>
      <c r="L154" s="8">
        <v>-360</v>
      </c>
      <c r="M154" s="8">
        <v>360</v>
      </c>
      <c r="N154" s="112">
        <f t="shared" si="35"/>
        <v>2.3073060000000001</v>
      </c>
      <c r="O154" s="5" t="s">
        <v>108</v>
      </c>
      <c r="P154" s="5" t="s">
        <v>109</v>
      </c>
      <c r="Q154" s="14" t="s">
        <v>244</v>
      </c>
      <c r="R154" s="51">
        <v>22</v>
      </c>
      <c r="S154" s="103">
        <v>2.3495674999999998E-9</v>
      </c>
      <c r="T154" s="103">
        <f t="shared" si="36"/>
        <v>0</v>
      </c>
      <c r="U154" s="138">
        <v>1</v>
      </c>
      <c r="V154" s="112">
        <v>0.57682650000000002</v>
      </c>
    </row>
    <row r="155" spans="1:22" x14ac:dyDescent="0.25">
      <c r="A155" s="6">
        <v>128</v>
      </c>
      <c r="B155" s="6">
        <v>130</v>
      </c>
      <c r="C155" s="38">
        <f t="shared" si="37"/>
        <v>3.4320900826446277E-3</v>
      </c>
      <c r="D155" s="38">
        <f t="shared" si="38"/>
        <v>3.6403292561983471E-3</v>
      </c>
      <c r="E155" s="38">
        <f t="shared" si="39"/>
        <v>3.6943711780165287E-5</v>
      </c>
      <c r="F155" s="32">
        <f t="shared" si="31"/>
        <v>60.587137248759326</v>
      </c>
      <c r="G155" s="8">
        <v>0</v>
      </c>
      <c r="H155" s="8">
        <v>0</v>
      </c>
      <c r="I155" s="8">
        <v>1</v>
      </c>
      <c r="J155" s="8">
        <v>0</v>
      </c>
      <c r="K155" s="8">
        <v>1</v>
      </c>
      <c r="L155" s="8">
        <v>-360</v>
      </c>
      <c r="M155" s="8">
        <v>360</v>
      </c>
      <c r="N155" s="112">
        <f t="shared" si="35"/>
        <v>0.55993199999999999</v>
      </c>
      <c r="O155" s="5" t="s">
        <v>108</v>
      </c>
      <c r="P155" s="5" t="s">
        <v>118</v>
      </c>
      <c r="Q155" s="14" t="s">
        <v>244</v>
      </c>
      <c r="R155" s="51">
        <v>22</v>
      </c>
      <c r="S155" s="103">
        <v>42.243909000000002</v>
      </c>
      <c r="T155" s="103">
        <f t="shared" si="36"/>
        <v>0</v>
      </c>
      <c r="U155" s="138">
        <v>3</v>
      </c>
      <c r="V155" s="112">
        <v>0.139983</v>
      </c>
    </row>
    <row r="156" spans="1:22" x14ac:dyDescent="0.25">
      <c r="A156" s="6">
        <v>130</v>
      </c>
      <c r="B156" s="6">
        <v>131</v>
      </c>
      <c r="C156" s="38">
        <f t="shared" si="37"/>
        <v>1.1755894765840219E-3</v>
      </c>
      <c r="D156" s="38">
        <f t="shared" si="38"/>
        <v>1.2469173774104683E-3</v>
      </c>
      <c r="E156" s="38">
        <f t="shared" si="39"/>
        <v>1.2654282885619837E-5</v>
      </c>
      <c r="F156" s="32">
        <f t="shared" si="31"/>
        <v>60.587137248759326</v>
      </c>
      <c r="G156" s="8">
        <v>0</v>
      </c>
      <c r="H156" s="8">
        <v>0</v>
      </c>
      <c r="I156" s="8">
        <v>1</v>
      </c>
      <c r="J156" s="8">
        <v>0</v>
      </c>
      <c r="K156" s="8">
        <v>1</v>
      </c>
      <c r="L156" s="8">
        <v>-360</v>
      </c>
      <c r="M156" s="8">
        <v>360</v>
      </c>
      <c r="N156" s="112">
        <f t="shared" si="35"/>
        <v>0.19179279999999999</v>
      </c>
      <c r="O156" s="5" t="s">
        <v>118</v>
      </c>
      <c r="P156" s="5" t="s">
        <v>123</v>
      </c>
      <c r="Q156" s="14" t="s">
        <v>244</v>
      </c>
      <c r="R156" s="51">
        <v>22</v>
      </c>
      <c r="S156" s="103">
        <v>30.174889</v>
      </c>
      <c r="T156" s="103">
        <f t="shared" si="36"/>
        <v>0</v>
      </c>
      <c r="U156" s="138">
        <v>3</v>
      </c>
      <c r="V156" s="112">
        <v>4.7948199999999996E-2</v>
      </c>
    </row>
    <row r="157" spans="1:22" x14ac:dyDescent="0.25">
      <c r="A157" s="6">
        <v>131</v>
      </c>
      <c r="B157" s="6">
        <v>132</v>
      </c>
      <c r="C157" s="38">
        <f t="shared" si="37"/>
        <v>2.6841311404958677E-2</v>
      </c>
      <c r="D157" s="38">
        <f t="shared" si="38"/>
        <v>2.8469885355371899E-2</v>
      </c>
      <c r="E157" s="38">
        <f t="shared" si="39"/>
        <v>3.2102811615867773E-5</v>
      </c>
      <c r="F157" s="32">
        <f t="shared" ref="F157:F217" si="49">U157*$Z$20</f>
        <v>20.195712416253109</v>
      </c>
      <c r="G157" s="8">
        <v>0</v>
      </c>
      <c r="H157" s="8">
        <v>0</v>
      </c>
      <c r="I157" s="8">
        <v>1</v>
      </c>
      <c r="J157" s="8">
        <v>0</v>
      </c>
      <c r="K157" s="8">
        <v>1</v>
      </c>
      <c r="L157" s="8">
        <v>-360</v>
      </c>
      <c r="M157" s="8">
        <v>360</v>
      </c>
      <c r="N157" s="112">
        <f t="shared" si="35"/>
        <v>1.4596848</v>
      </c>
      <c r="O157" s="5" t="s">
        <v>123</v>
      </c>
      <c r="P157" s="5" t="s">
        <v>125</v>
      </c>
      <c r="Q157" s="14" t="s">
        <v>244</v>
      </c>
      <c r="R157" s="51">
        <v>22</v>
      </c>
      <c r="S157" s="103">
        <v>8.0180316000000005</v>
      </c>
      <c r="T157" s="103">
        <f t="shared" si="36"/>
        <v>0</v>
      </c>
      <c r="U157" s="138">
        <v>1</v>
      </c>
      <c r="V157" s="112">
        <v>0.3649212</v>
      </c>
    </row>
    <row r="158" spans="1:22" x14ac:dyDescent="0.25">
      <c r="A158" s="6">
        <v>131</v>
      </c>
      <c r="B158" s="6">
        <v>133</v>
      </c>
      <c r="C158" s="38">
        <f t="shared" si="37"/>
        <v>2.6403424049586777E-2</v>
      </c>
      <c r="D158" s="38">
        <f t="shared" si="38"/>
        <v>2.8005429553719006E-2</v>
      </c>
      <c r="E158" s="38">
        <f t="shared" si="39"/>
        <v>3.1579088498677689E-5</v>
      </c>
      <c r="F158" s="32">
        <f t="shared" si="49"/>
        <v>20.195712416253109</v>
      </c>
      <c r="G158" s="8">
        <v>0</v>
      </c>
      <c r="H158" s="8">
        <v>0</v>
      </c>
      <c r="I158" s="8">
        <v>1</v>
      </c>
      <c r="J158" s="8">
        <v>0</v>
      </c>
      <c r="K158" s="8">
        <v>1</v>
      </c>
      <c r="L158" s="8">
        <v>-360</v>
      </c>
      <c r="M158" s="8">
        <v>360</v>
      </c>
      <c r="N158" s="112">
        <f t="shared" si="35"/>
        <v>1.4358716</v>
      </c>
      <c r="O158" s="5" t="s">
        <v>123</v>
      </c>
      <c r="P158" s="5" t="s">
        <v>132</v>
      </c>
      <c r="Q158" s="14" t="s">
        <v>244</v>
      </c>
      <c r="R158" s="51">
        <v>22</v>
      </c>
      <c r="S158" s="103">
        <v>18.090629</v>
      </c>
      <c r="T158" s="103">
        <f t="shared" si="36"/>
        <v>0</v>
      </c>
      <c r="U158" s="138">
        <v>1</v>
      </c>
      <c r="V158" s="112">
        <v>0.35896790000000001</v>
      </c>
    </row>
    <row r="159" spans="1:22" x14ac:dyDescent="0.25">
      <c r="A159" s="6">
        <v>135</v>
      </c>
      <c r="B159" s="6">
        <v>136</v>
      </c>
      <c r="C159" s="38">
        <f t="shared" ref="C159:C190" si="50">$Y$6*N159/$Y$2/U159</f>
        <v>2.8916345179063364E-3</v>
      </c>
      <c r="D159" s="38">
        <f t="shared" ref="D159:D190" si="51">$Z$6*N159/$Y$2/U159</f>
        <v>3.0670820055096418E-3</v>
      </c>
      <c r="E159" s="38">
        <f t="shared" ref="E159:E190" si="52">$AA$6*N159/$Y$2*U159</f>
        <v>3.1126138775702484E-5</v>
      </c>
      <c r="F159" s="32">
        <f t="shared" si="49"/>
        <v>60.587137248759326</v>
      </c>
      <c r="G159" s="8">
        <v>0</v>
      </c>
      <c r="H159" s="8">
        <v>0</v>
      </c>
      <c r="I159" s="8">
        <v>1</v>
      </c>
      <c r="J159" s="8">
        <v>0</v>
      </c>
      <c r="K159" s="8">
        <v>1</v>
      </c>
      <c r="L159" s="8">
        <v>-360</v>
      </c>
      <c r="M159" s="8">
        <v>360</v>
      </c>
      <c r="N159" s="112">
        <f t="shared" si="35"/>
        <v>0.47175880000000003</v>
      </c>
      <c r="O159" s="5" t="s">
        <v>129</v>
      </c>
      <c r="P159" s="5" t="s">
        <v>130</v>
      </c>
      <c r="Q159" s="14" t="s">
        <v>244</v>
      </c>
      <c r="R159" s="51">
        <v>22</v>
      </c>
      <c r="S159" s="103">
        <v>55.523029999999999</v>
      </c>
      <c r="T159" s="103">
        <f t="shared" si="36"/>
        <v>0</v>
      </c>
      <c r="U159" s="138">
        <v>3</v>
      </c>
      <c r="V159" s="112">
        <v>0.11793970000000001</v>
      </c>
    </row>
    <row r="160" spans="1:22" x14ac:dyDescent="0.25">
      <c r="A160" s="6">
        <v>136</v>
      </c>
      <c r="B160" s="6">
        <v>137</v>
      </c>
      <c r="C160" s="38">
        <f t="shared" si="50"/>
        <v>2.9054417768595042E-3</v>
      </c>
      <c r="D160" s="38">
        <f t="shared" si="51"/>
        <v>3.0817270082644627E-3</v>
      </c>
      <c r="E160" s="38">
        <f t="shared" si="52"/>
        <v>1.3899894623801653E-5</v>
      </c>
      <c r="F160" s="32">
        <f t="shared" si="49"/>
        <v>40.391424832506218</v>
      </c>
      <c r="G160" s="8">
        <v>0</v>
      </c>
      <c r="H160" s="8">
        <v>0</v>
      </c>
      <c r="I160" s="8">
        <v>1</v>
      </c>
      <c r="J160" s="8">
        <v>0</v>
      </c>
      <c r="K160" s="8">
        <v>1</v>
      </c>
      <c r="L160" s="8">
        <v>-360</v>
      </c>
      <c r="M160" s="8">
        <v>360</v>
      </c>
      <c r="N160" s="112">
        <f t="shared" si="35"/>
        <v>0.3160076</v>
      </c>
      <c r="O160" s="5" t="s">
        <v>130</v>
      </c>
      <c r="P160" s="5" t="s">
        <v>134</v>
      </c>
      <c r="Q160" s="14" t="s">
        <v>244</v>
      </c>
      <c r="R160" s="51">
        <v>22</v>
      </c>
      <c r="S160" s="103">
        <v>32.675519999999999</v>
      </c>
      <c r="T160" s="103">
        <f t="shared" si="36"/>
        <v>0</v>
      </c>
      <c r="U160" s="138">
        <v>2</v>
      </c>
      <c r="V160" s="112">
        <v>7.90019E-2</v>
      </c>
    </row>
    <row r="161" spans="1:23" x14ac:dyDescent="0.25">
      <c r="A161" s="6">
        <v>137</v>
      </c>
      <c r="B161" s="6">
        <v>138</v>
      </c>
      <c r="C161" s="38">
        <f t="shared" si="50"/>
        <v>4.8877696694214871E-3</v>
      </c>
      <c r="D161" s="38">
        <f t="shared" si="51"/>
        <v>5.1843309752066117E-3</v>
      </c>
      <c r="E161" s="38">
        <f t="shared" si="52"/>
        <v>2.3383529448595042E-5</v>
      </c>
      <c r="F161" s="32">
        <f t="shared" si="49"/>
        <v>40.391424832506218</v>
      </c>
      <c r="G161" s="8">
        <v>0</v>
      </c>
      <c r="H161" s="8">
        <v>0</v>
      </c>
      <c r="I161" s="8">
        <v>1</v>
      </c>
      <c r="J161" s="8">
        <v>0</v>
      </c>
      <c r="K161" s="8">
        <v>1</v>
      </c>
      <c r="L161" s="8">
        <v>-360</v>
      </c>
      <c r="M161" s="8">
        <v>360</v>
      </c>
      <c r="N161" s="112">
        <f t="shared" si="35"/>
        <v>0.53161360000000002</v>
      </c>
      <c r="O161" s="5" t="s">
        <v>134</v>
      </c>
      <c r="P161" s="5" t="s">
        <v>135</v>
      </c>
      <c r="Q161" s="14" t="s">
        <v>244</v>
      </c>
      <c r="R161" s="51">
        <v>22</v>
      </c>
      <c r="S161" s="103">
        <v>26.623314000000001</v>
      </c>
      <c r="T161" s="103">
        <f t="shared" si="36"/>
        <v>0</v>
      </c>
      <c r="U161" s="138">
        <v>2</v>
      </c>
      <c r="V161" s="112">
        <v>0.1329034</v>
      </c>
    </row>
    <row r="162" spans="1:23" x14ac:dyDescent="0.25">
      <c r="A162" s="6">
        <v>138</v>
      </c>
      <c r="B162" s="6">
        <v>139</v>
      </c>
      <c r="C162" s="38">
        <f t="shared" si="50"/>
        <v>2.3906282644628098E-3</v>
      </c>
      <c r="D162" s="38">
        <f t="shared" si="51"/>
        <v>2.5356776198347105E-3</v>
      </c>
      <c r="E162" s="38">
        <f t="shared" si="52"/>
        <v>1.1436980505123966E-5</v>
      </c>
      <c r="F162" s="32">
        <f t="shared" si="49"/>
        <v>40.391424832506218</v>
      </c>
      <c r="G162" s="8">
        <v>0</v>
      </c>
      <c r="H162" s="8">
        <v>0</v>
      </c>
      <c r="I162" s="8">
        <v>1</v>
      </c>
      <c r="J162" s="8">
        <v>0</v>
      </c>
      <c r="K162" s="8">
        <v>1</v>
      </c>
      <c r="L162" s="8">
        <v>-360</v>
      </c>
      <c r="M162" s="8">
        <v>360</v>
      </c>
      <c r="N162" s="112">
        <f t="shared" si="35"/>
        <v>0.26001439999999998</v>
      </c>
      <c r="O162" s="5" t="s">
        <v>135</v>
      </c>
      <c r="P162" s="5" t="s">
        <v>136</v>
      </c>
      <c r="Q162" s="14" t="s">
        <v>244</v>
      </c>
      <c r="R162" s="51">
        <v>22</v>
      </c>
      <c r="S162" s="103">
        <v>22.579166000000001</v>
      </c>
      <c r="T162" s="103">
        <f t="shared" si="36"/>
        <v>0</v>
      </c>
      <c r="U162" s="138">
        <v>2</v>
      </c>
      <c r="V162" s="112">
        <v>6.5003599999999995E-2</v>
      </c>
    </row>
    <row r="163" spans="1:23" x14ac:dyDescent="0.25">
      <c r="A163" s="6">
        <v>120</v>
      </c>
      <c r="B163" s="6">
        <v>195</v>
      </c>
      <c r="C163" s="38">
        <f t="shared" si="50"/>
        <v>2.1468315206611566E-2</v>
      </c>
      <c r="D163" s="38">
        <f t="shared" si="51"/>
        <v>2.2770887140495865E-2</v>
      </c>
      <c r="E163" s="38">
        <f t="shared" si="52"/>
        <v>2.5676587421157025E-5</v>
      </c>
      <c r="F163" s="32">
        <f t="shared" si="49"/>
        <v>20.195712416253109</v>
      </c>
      <c r="G163" s="8">
        <v>0</v>
      </c>
      <c r="H163" s="8">
        <v>0</v>
      </c>
      <c r="I163" s="8">
        <v>1</v>
      </c>
      <c r="J163" s="8">
        <v>0</v>
      </c>
      <c r="K163" s="8">
        <v>1</v>
      </c>
      <c r="L163" s="8">
        <v>-360</v>
      </c>
      <c r="M163" s="8">
        <v>360</v>
      </c>
      <c r="N163" s="112">
        <f t="shared" si="35"/>
        <v>1.1674903999999999</v>
      </c>
      <c r="O163" s="5" t="s">
        <v>161</v>
      </c>
      <c r="P163" s="5" t="s">
        <v>147</v>
      </c>
      <c r="Q163" s="14" t="s">
        <v>244</v>
      </c>
      <c r="R163" s="51">
        <v>22</v>
      </c>
      <c r="S163" s="103">
        <v>0.46093648999999998</v>
      </c>
      <c r="T163" s="103">
        <f t="shared" si="36"/>
        <v>0</v>
      </c>
      <c r="U163" s="138">
        <v>1</v>
      </c>
      <c r="V163" s="112">
        <v>0.29187259999999998</v>
      </c>
    </row>
    <row r="164" spans="1:23" x14ac:dyDescent="0.25">
      <c r="A164" s="6">
        <v>140</v>
      </c>
      <c r="B164" s="6">
        <v>141</v>
      </c>
      <c r="C164" s="38">
        <f t="shared" si="50"/>
        <v>2.8237817024793391E-2</v>
      </c>
      <c r="D164" s="38">
        <f t="shared" si="51"/>
        <v>2.9951122776859504E-2</v>
      </c>
      <c r="E164" s="38">
        <f t="shared" si="52"/>
        <v>3.377306371933885E-5</v>
      </c>
      <c r="F164" s="32">
        <f t="shared" si="49"/>
        <v>20.195712416253109</v>
      </c>
      <c r="G164" s="8">
        <v>0</v>
      </c>
      <c r="H164" s="8">
        <v>0</v>
      </c>
      <c r="I164" s="8">
        <v>1</v>
      </c>
      <c r="J164" s="8">
        <v>0</v>
      </c>
      <c r="K164" s="8">
        <v>1</v>
      </c>
      <c r="L164" s="8">
        <v>-360</v>
      </c>
      <c r="M164" s="8">
        <v>360</v>
      </c>
      <c r="N164" s="112">
        <f t="shared" si="35"/>
        <v>1.5356296</v>
      </c>
      <c r="O164" s="5" t="s">
        <v>116</v>
      </c>
      <c r="P164" s="5" t="s">
        <v>117</v>
      </c>
      <c r="Q164" s="14" t="s">
        <v>244</v>
      </c>
      <c r="R164" s="51">
        <v>22</v>
      </c>
      <c r="S164" s="103">
        <v>6.8094966000000005E-10</v>
      </c>
      <c r="T164" s="103">
        <f t="shared" si="36"/>
        <v>0</v>
      </c>
      <c r="U164" s="138">
        <v>1</v>
      </c>
      <c r="V164" s="112">
        <v>0.38390740000000001</v>
      </c>
    </row>
    <row r="165" spans="1:23" x14ac:dyDescent="0.25">
      <c r="A165" s="6">
        <v>140</v>
      </c>
      <c r="B165" s="6">
        <v>142</v>
      </c>
      <c r="C165" s="38">
        <f t="shared" si="50"/>
        <v>1.6036145041322312E-2</v>
      </c>
      <c r="D165" s="38">
        <f t="shared" si="51"/>
        <v>1.7009124628099174E-2</v>
      </c>
      <c r="E165" s="38">
        <f t="shared" si="52"/>
        <v>1.9179589832231407E-5</v>
      </c>
      <c r="F165" s="32">
        <f t="shared" si="49"/>
        <v>20.195712416253109</v>
      </c>
      <c r="G165" s="8">
        <v>0</v>
      </c>
      <c r="H165" s="8">
        <v>0</v>
      </c>
      <c r="I165" s="8">
        <v>1</v>
      </c>
      <c r="J165" s="8">
        <v>0</v>
      </c>
      <c r="K165" s="8">
        <v>1</v>
      </c>
      <c r="L165" s="8">
        <v>-360</v>
      </c>
      <c r="M165" s="8">
        <v>360</v>
      </c>
      <c r="N165" s="112">
        <f t="shared" si="35"/>
        <v>0.87207800000000002</v>
      </c>
      <c r="O165" s="5" t="s">
        <v>116</v>
      </c>
      <c r="P165" s="5" t="s">
        <v>114</v>
      </c>
      <c r="Q165" s="14" t="s">
        <v>244</v>
      </c>
      <c r="R165" s="51">
        <v>22</v>
      </c>
      <c r="S165" s="103">
        <v>3.6450161000000001E-3</v>
      </c>
      <c r="T165" s="103">
        <f t="shared" si="36"/>
        <v>0</v>
      </c>
      <c r="U165" s="138">
        <v>1</v>
      </c>
      <c r="V165" s="112">
        <v>0.2180195</v>
      </c>
    </row>
    <row r="166" spans="1:23" x14ac:dyDescent="0.25">
      <c r="A166" s="6">
        <v>142</v>
      </c>
      <c r="B166" s="6">
        <v>143</v>
      </c>
      <c r="C166" s="38">
        <f t="shared" si="50"/>
        <v>1.9196034876033059E-2</v>
      </c>
      <c r="D166" s="38">
        <f t="shared" si="51"/>
        <v>2.0360738115702482E-2</v>
      </c>
      <c r="E166" s="38">
        <f t="shared" si="52"/>
        <v>2.295888908330579E-5</v>
      </c>
      <c r="F166" s="32">
        <f t="shared" si="49"/>
        <v>20.195712416253109</v>
      </c>
      <c r="G166" s="8">
        <v>0</v>
      </c>
      <c r="H166" s="8">
        <v>0</v>
      </c>
      <c r="I166" s="8">
        <v>1</v>
      </c>
      <c r="J166" s="8">
        <v>0</v>
      </c>
      <c r="K166" s="8">
        <v>1</v>
      </c>
      <c r="L166" s="8">
        <v>-360</v>
      </c>
      <c r="M166" s="8">
        <v>360</v>
      </c>
      <c r="N166" s="112">
        <f t="shared" si="35"/>
        <v>1.0439192000000002</v>
      </c>
      <c r="O166" s="5" t="s">
        <v>114</v>
      </c>
      <c r="P166" s="5" t="s">
        <v>112</v>
      </c>
      <c r="Q166" s="14" t="s">
        <v>244</v>
      </c>
      <c r="R166" s="51">
        <v>22</v>
      </c>
      <c r="S166" s="103">
        <v>1.6998814E-3</v>
      </c>
      <c r="T166" s="103">
        <f t="shared" si="36"/>
        <v>0</v>
      </c>
      <c r="U166" s="138">
        <v>1</v>
      </c>
      <c r="V166" s="112">
        <v>0.26097980000000004</v>
      </c>
    </row>
    <row r="167" spans="1:23" x14ac:dyDescent="0.25">
      <c r="A167" s="6">
        <v>143</v>
      </c>
      <c r="B167" s="6">
        <v>144</v>
      </c>
      <c r="C167" s="38">
        <f t="shared" si="50"/>
        <v>1.6769902231404957E-2</v>
      </c>
      <c r="D167" s="38">
        <f t="shared" si="51"/>
        <v>1.7787401917355374E-2</v>
      </c>
      <c r="E167" s="38">
        <f t="shared" si="52"/>
        <v>2.0057179920495868E-5</v>
      </c>
      <c r="F167" s="32">
        <f t="shared" si="49"/>
        <v>20.195712416253109</v>
      </c>
      <c r="G167" s="8">
        <v>0</v>
      </c>
      <c r="H167" s="8">
        <v>0</v>
      </c>
      <c r="I167" s="8">
        <v>1</v>
      </c>
      <c r="J167" s="8">
        <v>0</v>
      </c>
      <c r="K167" s="8">
        <v>1</v>
      </c>
      <c r="L167" s="8">
        <v>-360</v>
      </c>
      <c r="M167" s="8">
        <v>360</v>
      </c>
      <c r="N167" s="112">
        <f t="shared" si="35"/>
        <v>0.91198119999999994</v>
      </c>
      <c r="O167" s="5" t="s">
        <v>112</v>
      </c>
      <c r="P167" s="5" t="s">
        <v>113</v>
      </c>
      <c r="Q167" s="14" t="s">
        <v>244</v>
      </c>
      <c r="R167" s="51">
        <v>22</v>
      </c>
      <c r="S167" s="103">
        <v>1.4309457000000001E-10</v>
      </c>
      <c r="T167" s="103">
        <f t="shared" si="36"/>
        <v>0</v>
      </c>
      <c r="U167" s="138">
        <v>1</v>
      </c>
      <c r="V167" s="112">
        <v>0.22799529999999998</v>
      </c>
    </row>
    <row r="168" spans="1:23" x14ac:dyDescent="0.25">
      <c r="A168" s="6">
        <v>145</v>
      </c>
      <c r="B168" s="6">
        <v>146</v>
      </c>
      <c r="C168" s="38">
        <f t="shared" si="50"/>
        <v>8.9707733884297515E-3</v>
      </c>
      <c r="D168" s="38">
        <f t="shared" si="51"/>
        <v>9.5150675041322311E-3</v>
      </c>
      <c r="E168" s="38">
        <f t="shared" si="52"/>
        <v>4.2916986251900833E-5</v>
      </c>
      <c r="F168" s="32">
        <f t="shared" si="49"/>
        <v>40.391424832506218</v>
      </c>
      <c r="G168" s="8">
        <v>0</v>
      </c>
      <c r="H168" s="8">
        <v>0</v>
      </c>
      <c r="I168" s="8">
        <v>1</v>
      </c>
      <c r="J168" s="8">
        <v>0</v>
      </c>
      <c r="K168" s="8">
        <v>1</v>
      </c>
      <c r="L168" s="8">
        <v>-360</v>
      </c>
      <c r="M168" s="8">
        <v>360</v>
      </c>
      <c r="N168" s="112">
        <f t="shared" si="35"/>
        <v>0.97569760000000005</v>
      </c>
      <c r="O168" s="5" t="s">
        <v>142</v>
      </c>
      <c r="P168" s="5" t="s">
        <v>146</v>
      </c>
      <c r="Q168" s="14" t="s">
        <v>244</v>
      </c>
      <c r="R168" s="51">
        <v>22</v>
      </c>
      <c r="S168" s="103">
        <v>5.0024888000000001</v>
      </c>
      <c r="T168" s="103">
        <f t="shared" si="36"/>
        <v>0</v>
      </c>
      <c r="U168" s="138">
        <v>2</v>
      </c>
      <c r="V168" s="112">
        <v>0.24392440000000001</v>
      </c>
    </row>
    <row r="169" spans="1:23" x14ac:dyDescent="0.25">
      <c r="A169" s="6">
        <v>147</v>
      </c>
      <c r="B169" s="6">
        <v>148</v>
      </c>
      <c r="C169" s="38">
        <f t="shared" si="50"/>
        <v>1.5089361570247933E-3</v>
      </c>
      <c r="D169" s="38">
        <f t="shared" si="51"/>
        <v>1.6004895867768594E-3</v>
      </c>
      <c r="E169" s="38">
        <f t="shared" si="52"/>
        <v>7.2188862099173552E-6</v>
      </c>
      <c r="F169" s="32">
        <f t="shared" si="49"/>
        <v>40.391424832506218</v>
      </c>
      <c r="G169" s="8">
        <v>0</v>
      </c>
      <c r="H169" s="8">
        <v>0</v>
      </c>
      <c r="I169" s="8">
        <v>1</v>
      </c>
      <c r="J169" s="8">
        <v>0</v>
      </c>
      <c r="K169" s="8">
        <v>1</v>
      </c>
      <c r="L169" s="8">
        <v>-360</v>
      </c>
      <c r="M169" s="8">
        <v>360</v>
      </c>
      <c r="N169" s="112">
        <f t="shared" si="35"/>
        <v>0.16411799999999999</v>
      </c>
      <c r="O169" s="5" t="s">
        <v>213</v>
      </c>
      <c r="P169" s="5" t="s">
        <v>215</v>
      </c>
      <c r="Q169" s="14" t="s">
        <v>244</v>
      </c>
      <c r="R169" s="51">
        <v>22</v>
      </c>
      <c r="S169" s="103">
        <v>24.012609000000001</v>
      </c>
      <c r="T169" s="103">
        <f t="shared" si="36"/>
        <v>0</v>
      </c>
      <c r="U169" s="138">
        <v>2</v>
      </c>
      <c r="V169" s="112">
        <v>4.1029499999999997E-2</v>
      </c>
    </row>
    <row r="170" spans="1:23" x14ac:dyDescent="0.25">
      <c r="A170" s="65">
        <v>11</v>
      </c>
      <c r="B170" s="65">
        <v>149</v>
      </c>
      <c r="C170" s="66">
        <f>$Y$7*N170/$Z$2/U170</f>
        <v>1.6528925619834708E-3</v>
      </c>
      <c r="D170" s="66">
        <f>$Z$7*N170/$Z$2/U170</f>
        <v>2.7103764921946737E-2</v>
      </c>
      <c r="E170" s="66">
        <f>$AA$7*N170/$Z$2*U170</f>
        <v>2.8257116620752976E-5</v>
      </c>
      <c r="F170" s="67">
        <f>U170*$Z$40</f>
        <v>148.60995928940966</v>
      </c>
      <c r="G170" s="68">
        <v>0</v>
      </c>
      <c r="H170" s="68">
        <v>0</v>
      </c>
      <c r="I170" s="68">
        <v>1</v>
      </c>
      <c r="J170" s="68">
        <v>0</v>
      </c>
      <c r="K170" s="68">
        <v>1</v>
      </c>
      <c r="L170" s="68">
        <v>-360</v>
      </c>
      <c r="M170" s="68">
        <v>360</v>
      </c>
      <c r="N170" s="69">
        <f t="shared" si="35"/>
        <v>8</v>
      </c>
      <c r="O170" s="5" t="s">
        <v>58</v>
      </c>
      <c r="P170" s="5" t="s">
        <v>241</v>
      </c>
      <c r="Q170" s="14" t="s">
        <v>244</v>
      </c>
      <c r="R170" s="49">
        <v>66</v>
      </c>
      <c r="S170" s="103">
        <v>132.31089</v>
      </c>
      <c r="T170" s="103">
        <f t="shared" si="36"/>
        <v>0</v>
      </c>
      <c r="U170" s="138">
        <v>1</v>
      </c>
      <c r="V170" s="112">
        <v>2</v>
      </c>
      <c r="W170" t="s">
        <v>276</v>
      </c>
    </row>
    <row r="171" spans="1:23" x14ac:dyDescent="0.25">
      <c r="A171" s="6">
        <v>150</v>
      </c>
      <c r="B171" s="6">
        <v>151</v>
      </c>
      <c r="C171" s="38">
        <f t="shared" si="50"/>
        <v>4.1540124793388424E-3</v>
      </c>
      <c r="D171" s="38">
        <f t="shared" si="51"/>
        <v>4.4060536859504128E-3</v>
      </c>
      <c r="E171" s="38">
        <f t="shared" si="52"/>
        <v>1.9873169095537192E-5</v>
      </c>
      <c r="F171" s="32">
        <f t="shared" si="49"/>
        <v>40.391424832506218</v>
      </c>
      <c r="G171" s="8">
        <v>0</v>
      </c>
      <c r="H171" s="8">
        <v>0</v>
      </c>
      <c r="I171" s="8">
        <v>1</v>
      </c>
      <c r="J171" s="8">
        <v>0</v>
      </c>
      <c r="K171" s="8">
        <v>1</v>
      </c>
      <c r="L171" s="8">
        <v>-360</v>
      </c>
      <c r="M171" s="8">
        <v>360</v>
      </c>
      <c r="N171" s="112">
        <f t="shared" si="35"/>
        <v>0.45180719999999996</v>
      </c>
      <c r="O171" s="5" t="s">
        <v>192</v>
      </c>
      <c r="P171" s="5" t="s">
        <v>193</v>
      </c>
      <c r="Q171" s="14" t="s">
        <v>244</v>
      </c>
      <c r="R171" s="51">
        <v>22</v>
      </c>
      <c r="S171" s="103">
        <v>9.6385636000000004E-3</v>
      </c>
      <c r="T171" s="103">
        <f t="shared" si="36"/>
        <v>0</v>
      </c>
      <c r="U171" s="138">
        <v>2</v>
      </c>
      <c r="V171" s="112">
        <v>0.11295179999999999</v>
      </c>
      <c r="W171" t="s">
        <v>276</v>
      </c>
    </row>
    <row r="172" spans="1:23" x14ac:dyDescent="0.25">
      <c r="A172" s="117">
        <v>152</v>
      </c>
      <c r="B172" s="117">
        <v>153</v>
      </c>
      <c r="C172" s="118">
        <f>$Y$7*N172/$Z$2/U172</f>
        <v>5.453313223140495E-4</v>
      </c>
      <c r="D172" s="118">
        <f>$Z$7*N172/$Z$2/U142</f>
        <v>8.9422218385674934E-3</v>
      </c>
      <c r="E172" s="118">
        <f>$AA$7*N172/$Z$2*U172</f>
        <v>9.3227419168044066E-6</v>
      </c>
      <c r="F172" s="119">
        <f>U172*$Z$40</f>
        <v>148.60995928940966</v>
      </c>
      <c r="G172" s="120">
        <v>0</v>
      </c>
      <c r="H172" s="120">
        <v>0</v>
      </c>
      <c r="I172" s="120">
        <v>1</v>
      </c>
      <c r="J172" s="120">
        <v>0</v>
      </c>
      <c r="K172" s="120">
        <v>1</v>
      </c>
      <c r="L172" s="120">
        <v>-360</v>
      </c>
      <c r="M172" s="120">
        <v>360</v>
      </c>
      <c r="N172" s="121">
        <f t="shared" si="35"/>
        <v>2.6394036000000001</v>
      </c>
      <c r="O172" s="5" t="s">
        <v>204</v>
      </c>
      <c r="P172" s="5" t="s">
        <v>220</v>
      </c>
      <c r="Q172" s="14" t="s">
        <v>244</v>
      </c>
      <c r="R172" s="49">
        <v>66</v>
      </c>
      <c r="S172" s="103">
        <v>40.009365000000003</v>
      </c>
      <c r="T172" s="103">
        <f t="shared" si="36"/>
        <v>0</v>
      </c>
      <c r="U172" s="138">
        <v>1</v>
      </c>
      <c r="V172" s="112">
        <v>0.65985090000000002</v>
      </c>
    </row>
    <row r="173" spans="1:23" x14ac:dyDescent="0.25">
      <c r="A173" s="6">
        <v>154</v>
      </c>
      <c r="B173" s="6">
        <v>155</v>
      </c>
      <c r="C173" s="38">
        <f t="shared" si="50"/>
        <v>6.0298272314049583E-3</v>
      </c>
      <c r="D173" s="38">
        <f t="shared" si="51"/>
        <v>6.3956819173553716E-3</v>
      </c>
      <c r="E173" s="38">
        <f t="shared" si="52"/>
        <v>2.8847235481983475E-5</v>
      </c>
      <c r="F173" s="32">
        <f t="shared" si="49"/>
        <v>40.391424832506218</v>
      </c>
      <c r="G173" s="8">
        <v>0</v>
      </c>
      <c r="H173" s="8">
        <v>0</v>
      </c>
      <c r="I173" s="8">
        <v>1</v>
      </c>
      <c r="J173" s="8">
        <v>0</v>
      </c>
      <c r="K173" s="8">
        <v>1</v>
      </c>
      <c r="L173" s="8">
        <v>-360</v>
      </c>
      <c r="M173" s="8">
        <v>360</v>
      </c>
      <c r="N173" s="112">
        <f t="shared" si="35"/>
        <v>0.65582839999999998</v>
      </c>
      <c r="O173" s="5" t="s">
        <v>222</v>
      </c>
      <c r="P173" s="5" t="s">
        <v>224</v>
      </c>
      <c r="Q173" s="14" t="s">
        <v>244</v>
      </c>
      <c r="R173" s="51">
        <v>22</v>
      </c>
      <c r="S173" s="103">
        <v>21.177496000000001</v>
      </c>
      <c r="T173" s="103">
        <f t="shared" si="36"/>
        <v>0</v>
      </c>
      <c r="U173" s="138">
        <v>2</v>
      </c>
      <c r="V173" s="112">
        <v>0.16395709999999999</v>
      </c>
    </row>
    <row r="174" spans="1:23" x14ac:dyDescent="0.25">
      <c r="A174" s="117">
        <v>28</v>
      </c>
      <c r="B174" s="117">
        <v>155</v>
      </c>
      <c r="C174" s="118">
        <f t="shared" si="50"/>
        <v>3.5516214958677683E-2</v>
      </c>
      <c r="D174" s="118">
        <f t="shared" si="51"/>
        <v>3.7671131371900826E-2</v>
      </c>
      <c r="E174" s="118">
        <f t="shared" si="52"/>
        <v>1.6991276483107438E-4</v>
      </c>
      <c r="F174" s="119">
        <f t="shared" si="49"/>
        <v>40.391424832506218</v>
      </c>
      <c r="G174" s="120">
        <v>0</v>
      </c>
      <c r="H174" s="120">
        <v>0</v>
      </c>
      <c r="I174" s="120">
        <v>1</v>
      </c>
      <c r="J174" s="120">
        <v>0</v>
      </c>
      <c r="K174" s="120">
        <v>1</v>
      </c>
      <c r="L174" s="120">
        <v>-360</v>
      </c>
      <c r="M174" s="120">
        <v>360</v>
      </c>
      <c r="N174" s="121">
        <f t="shared" si="35"/>
        <v>3.8628871999999999</v>
      </c>
      <c r="O174" s="5" t="s">
        <v>191</v>
      </c>
      <c r="P174" s="5" t="s">
        <v>224</v>
      </c>
      <c r="Q174" s="14" t="s">
        <v>244</v>
      </c>
      <c r="R174" s="51">
        <v>22</v>
      </c>
      <c r="S174" s="103">
        <v>36.741630999999998</v>
      </c>
      <c r="T174" s="103">
        <f t="shared" si="36"/>
        <v>0</v>
      </c>
      <c r="U174" s="138">
        <v>2</v>
      </c>
      <c r="V174" s="112">
        <v>0.96572179999999996</v>
      </c>
    </row>
    <row r="175" spans="1:23" x14ac:dyDescent="0.25">
      <c r="A175" s="117">
        <v>28</v>
      </c>
      <c r="B175" s="117">
        <v>154</v>
      </c>
      <c r="C175" s="118">
        <f t="shared" ref="C175" si="53">$Y$6*N175/$Y$2/U175</f>
        <v>3.5516214958677683E-2</v>
      </c>
      <c r="D175" s="118">
        <f t="shared" ref="D175" si="54">$Z$6*N175/$Y$2/U175</f>
        <v>3.7671131371900826E-2</v>
      </c>
      <c r="E175" s="118">
        <f t="shared" ref="E175" si="55">$AA$6*N175/$Y$2*U175</f>
        <v>1.6991276483107438E-4</v>
      </c>
      <c r="F175" s="119">
        <f t="shared" ref="F175" si="56">U175*$Z$20</f>
        <v>40.391424832506218</v>
      </c>
      <c r="G175" s="120">
        <v>0</v>
      </c>
      <c r="H175" s="120">
        <v>0</v>
      </c>
      <c r="I175" s="120">
        <v>1</v>
      </c>
      <c r="J175" s="120">
        <v>0</v>
      </c>
      <c r="K175" s="120">
        <v>1</v>
      </c>
      <c r="L175" s="120">
        <v>-360</v>
      </c>
      <c r="M175" s="120">
        <v>360</v>
      </c>
      <c r="N175" s="121">
        <f t="shared" ref="N175" si="57">V175*$W$2</f>
        <v>3.8628871999999999</v>
      </c>
      <c r="O175" s="5" t="s">
        <v>191</v>
      </c>
      <c r="P175" s="5" t="s">
        <v>222</v>
      </c>
      <c r="Q175" s="14" t="s">
        <v>244</v>
      </c>
      <c r="R175" s="51">
        <v>22</v>
      </c>
      <c r="S175" s="103">
        <v>40.364330000000002</v>
      </c>
      <c r="T175" s="103">
        <f t="shared" si="36"/>
        <v>0</v>
      </c>
      <c r="U175" s="138">
        <v>2</v>
      </c>
      <c r="V175" s="112">
        <v>0.96572179999999996</v>
      </c>
    </row>
    <row r="176" spans="1:23" x14ac:dyDescent="0.25">
      <c r="A176" s="117">
        <v>156</v>
      </c>
      <c r="B176" s="117">
        <v>157</v>
      </c>
      <c r="C176" s="118">
        <f>$Y$7*N176/$Z$2/U176</f>
        <v>8.2644628099173553E-9</v>
      </c>
      <c r="D176" s="118">
        <f>$Z$7*N176/$Z$2/U146</f>
        <v>1.3551882460973368E-7</v>
      </c>
      <c r="E176" s="118">
        <f>$AA$7*N176/$Z$2*U176</f>
        <v>1.412855831037649E-10</v>
      </c>
      <c r="F176" s="119">
        <f>U176*$Z$40</f>
        <v>148.60995928940966</v>
      </c>
      <c r="G176" s="120">
        <v>0</v>
      </c>
      <c r="H176" s="120">
        <v>0</v>
      </c>
      <c r="I176" s="120">
        <v>1</v>
      </c>
      <c r="J176" s="120">
        <v>0</v>
      </c>
      <c r="K176" s="120">
        <v>1</v>
      </c>
      <c r="L176" s="120">
        <v>-360</v>
      </c>
      <c r="M176" s="120">
        <v>360</v>
      </c>
      <c r="N176" s="121">
        <f t="shared" si="35"/>
        <v>4.0000000000000003E-5</v>
      </c>
      <c r="O176" s="5" t="s">
        <v>229</v>
      </c>
      <c r="P176" s="5" t="s">
        <v>230</v>
      </c>
      <c r="Q176" s="14" t="s">
        <v>244</v>
      </c>
      <c r="R176" s="49">
        <v>66</v>
      </c>
      <c r="S176" s="103">
        <v>0</v>
      </c>
      <c r="T176" s="103">
        <f t="shared" si="36"/>
        <v>0</v>
      </c>
      <c r="U176" s="138">
        <v>1</v>
      </c>
      <c r="V176" s="112">
        <v>1.0000000000000001E-5</v>
      </c>
    </row>
    <row r="177" spans="1:22" x14ac:dyDescent="0.25">
      <c r="A177" s="117">
        <v>154</v>
      </c>
      <c r="B177" s="117">
        <v>158</v>
      </c>
      <c r="C177" s="118">
        <f t="shared" si="50"/>
        <v>5.0078928223140494E-2</v>
      </c>
      <c r="D177" s="118">
        <f t="shared" si="51"/>
        <v>5.3117424991735537E-2</v>
      </c>
      <c r="E177" s="118">
        <f t="shared" si="52"/>
        <v>2.3958209409619835E-4</v>
      </c>
      <c r="F177" s="119">
        <f t="shared" si="49"/>
        <v>40.391424832506218</v>
      </c>
      <c r="G177" s="120">
        <v>0</v>
      </c>
      <c r="H177" s="120">
        <v>0</v>
      </c>
      <c r="I177" s="120">
        <v>1</v>
      </c>
      <c r="J177" s="120">
        <v>0</v>
      </c>
      <c r="K177" s="120">
        <v>1</v>
      </c>
      <c r="L177" s="120">
        <v>-360</v>
      </c>
      <c r="M177" s="120">
        <v>360</v>
      </c>
      <c r="N177" s="121">
        <f t="shared" si="35"/>
        <v>5.4467867999999999</v>
      </c>
      <c r="O177" s="5" t="s">
        <v>222</v>
      </c>
      <c r="P177" s="5" t="s">
        <v>236</v>
      </c>
      <c r="Q177" s="14" t="s">
        <v>244</v>
      </c>
      <c r="R177" s="51">
        <v>22</v>
      </c>
      <c r="S177" s="103">
        <v>30.571069000000001</v>
      </c>
      <c r="T177" s="103">
        <f t="shared" si="36"/>
        <v>0</v>
      </c>
      <c r="U177" s="138">
        <v>2</v>
      </c>
      <c r="V177" s="112">
        <v>1.3616967</v>
      </c>
    </row>
    <row r="178" spans="1:22" x14ac:dyDescent="0.25">
      <c r="A178" s="117">
        <v>19</v>
      </c>
      <c r="B178" s="117">
        <v>157</v>
      </c>
      <c r="C178" s="118">
        <f>$Y$7*N178/$Z$2/U178</f>
        <v>8.2630793388429734E-4</v>
      </c>
      <c r="D178" s="118">
        <f>$Z$7*N178/$Z$2/U148</f>
        <v>3.3874034689623501E-3</v>
      </c>
      <c r="E178" s="118">
        <f>$AA$7*N178/$Z$2*U178</f>
        <v>1.4126193189715332E-5</v>
      </c>
      <c r="F178" s="119">
        <f>U178*$Z$40</f>
        <v>148.60995928940966</v>
      </c>
      <c r="G178" s="120">
        <v>0</v>
      </c>
      <c r="H178" s="120">
        <v>0</v>
      </c>
      <c r="I178" s="120">
        <v>1</v>
      </c>
      <c r="J178" s="120">
        <v>0</v>
      </c>
      <c r="K178" s="120">
        <v>1</v>
      </c>
      <c r="L178" s="120">
        <v>-360</v>
      </c>
      <c r="M178" s="120">
        <v>360</v>
      </c>
      <c r="N178" s="121">
        <f t="shared" si="35"/>
        <v>3.9993303999999998</v>
      </c>
      <c r="O178" s="5" t="s">
        <v>62</v>
      </c>
      <c r="P178" s="5" t="s">
        <v>230</v>
      </c>
      <c r="Q178" s="14" t="s">
        <v>244</v>
      </c>
      <c r="R178" s="49">
        <v>66</v>
      </c>
      <c r="S178" s="103">
        <v>135.36801</v>
      </c>
      <c r="T178" s="103">
        <f t="shared" si="36"/>
        <v>0</v>
      </c>
      <c r="U178" s="138">
        <v>1</v>
      </c>
      <c r="V178" s="112">
        <v>0.99983259999999996</v>
      </c>
    </row>
    <row r="179" spans="1:22" x14ac:dyDescent="0.25">
      <c r="A179" s="117">
        <v>157</v>
      </c>
      <c r="B179" s="117">
        <v>159</v>
      </c>
      <c r="C179" s="118">
        <f t="shared" ref="C179:C183" si="58">$Y$7*N179/$Z$2/U179</f>
        <v>2.2805247933884294E-4</v>
      </c>
      <c r="D179" s="118">
        <f t="shared" ref="D179:D183" si="59">$Z$7*N179/$Z$2/U149</f>
        <v>9.3488846946740119E-4</v>
      </c>
      <c r="E179" s="118">
        <f t="shared" ref="E179:E183" si="60">$AA$7*N179/$Z$2*U179</f>
        <v>3.8986838301193745E-6</v>
      </c>
      <c r="F179" s="119">
        <f t="shared" ref="F179:F183" si="61">U179*$Z$40</f>
        <v>148.60995928940966</v>
      </c>
      <c r="G179" s="120">
        <v>0</v>
      </c>
      <c r="H179" s="120">
        <v>0</v>
      </c>
      <c r="I179" s="120">
        <v>1</v>
      </c>
      <c r="J179" s="120">
        <v>0</v>
      </c>
      <c r="K179" s="120">
        <v>1</v>
      </c>
      <c r="L179" s="120">
        <v>-360</v>
      </c>
      <c r="M179" s="120">
        <v>360</v>
      </c>
      <c r="N179" s="121">
        <f t="shared" si="35"/>
        <v>1.103774</v>
      </c>
      <c r="O179" s="5" t="s">
        <v>230</v>
      </c>
      <c r="P179" s="5" t="s">
        <v>232</v>
      </c>
      <c r="Q179" s="14" t="s">
        <v>244</v>
      </c>
      <c r="R179" s="49">
        <v>66</v>
      </c>
      <c r="S179" s="103">
        <v>135.11614</v>
      </c>
      <c r="T179" s="103">
        <f t="shared" si="36"/>
        <v>0</v>
      </c>
      <c r="U179" s="138">
        <v>1</v>
      </c>
      <c r="V179" s="112">
        <v>0.27594350000000001</v>
      </c>
    </row>
    <row r="180" spans="1:22" x14ac:dyDescent="0.25">
      <c r="A180" s="117">
        <v>159</v>
      </c>
      <c r="B180" s="117">
        <v>160</v>
      </c>
      <c r="C180" s="118">
        <f t="shared" si="58"/>
        <v>3.6302231404958677E-5</v>
      </c>
      <c r="D180" s="118">
        <f t="shared" si="59"/>
        <v>2.9763796170798897E-4</v>
      </c>
      <c r="E180" s="118">
        <f t="shared" si="60"/>
        <v>6.2060681377410455E-7</v>
      </c>
      <c r="F180" s="119">
        <f t="shared" si="61"/>
        <v>148.60995928940966</v>
      </c>
      <c r="G180" s="120">
        <v>0</v>
      </c>
      <c r="H180" s="120">
        <v>0</v>
      </c>
      <c r="I180" s="120">
        <v>1</v>
      </c>
      <c r="J180" s="120">
        <v>0</v>
      </c>
      <c r="K180" s="120">
        <v>1</v>
      </c>
      <c r="L180" s="120">
        <v>-360</v>
      </c>
      <c r="M180" s="120">
        <v>360</v>
      </c>
      <c r="N180" s="121">
        <f t="shared" si="35"/>
        <v>0.17570280000000002</v>
      </c>
      <c r="O180" s="5" t="s">
        <v>232</v>
      </c>
      <c r="P180" s="5" t="s">
        <v>233</v>
      </c>
      <c r="Q180" s="14" t="s">
        <v>244</v>
      </c>
      <c r="R180" s="49">
        <v>66</v>
      </c>
      <c r="S180" s="103">
        <v>105.05407</v>
      </c>
      <c r="T180" s="103">
        <f t="shared" si="36"/>
        <v>0</v>
      </c>
      <c r="U180" s="138">
        <v>1</v>
      </c>
      <c r="V180" s="112">
        <v>4.3925700000000005E-2</v>
      </c>
    </row>
    <row r="181" spans="1:22" x14ac:dyDescent="0.25">
      <c r="A181" s="117">
        <v>160</v>
      </c>
      <c r="B181" s="117">
        <v>161</v>
      </c>
      <c r="C181" s="118">
        <f t="shared" si="58"/>
        <v>1.8510148760330576E-4</v>
      </c>
      <c r="D181" s="118">
        <f t="shared" si="59"/>
        <v>3.0352530600550958E-3</v>
      </c>
      <c r="E181" s="118">
        <f t="shared" si="60"/>
        <v>3.1644127647382907E-6</v>
      </c>
      <c r="F181" s="119">
        <f t="shared" si="61"/>
        <v>148.60995928940966</v>
      </c>
      <c r="G181" s="120">
        <v>0</v>
      </c>
      <c r="H181" s="120">
        <v>0</v>
      </c>
      <c r="I181" s="120">
        <v>1</v>
      </c>
      <c r="J181" s="120">
        <v>0</v>
      </c>
      <c r="K181" s="120">
        <v>1</v>
      </c>
      <c r="L181" s="120">
        <v>-360</v>
      </c>
      <c r="M181" s="120">
        <v>360</v>
      </c>
      <c r="N181" s="121">
        <f t="shared" si="35"/>
        <v>0.89589119999999989</v>
      </c>
      <c r="O181" s="5" t="s">
        <v>233</v>
      </c>
      <c r="P181" s="5" t="s">
        <v>237</v>
      </c>
      <c r="Q181" s="14" t="s">
        <v>244</v>
      </c>
      <c r="R181" s="49">
        <v>66</v>
      </c>
      <c r="S181" s="103">
        <v>75.008424000000005</v>
      </c>
      <c r="T181" s="103">
        <f t="shared" si="36"/>
        <v>0</v>
      </c>
      <c r="U181" s="138">
        <v>1</v>
      </c>
      <c r="V181" s="112">
        <v>0.22397279999999997</v>
      </c>
    </row>
    <row r="182" spans="1:22" x14ac:dyDescent="0.25">
      <c r="A182" s="117">
        <v>161</v>
      </c>
      <c r="B182" s="117">
        <v>162</v>
      </c>
      <c r="C182" s="118">
        <f t="shared" si="58"/>
        <v>1.0770991735537188E-5</v>
      </c>
      <c r="D182" s="118">
        <f t="shared" si="59"/>
        <v>1.7662032892561981E-4</v>
      </c>
      <c r="E182" s="118">
        <f t="shared" si="60"/>
        <v>1.8413608760330573E-7</v>
      </c>
      <c r="F182" s="119">
        <f t="shared" si="61"/>
        <v>148.60995928940966</v>
      </c>
      <c r="G182" s="120">
        <v>0</v>
      </c>
      <c r="H182" s="120">
        <v>0</v>
      </c>
      <c r="I182" s="120">
        <v>1</v>
      </c>
      <c r="J182" s="120">
        <v>0</v>
      </c>
      <c r="K182" s="120">
        <v>1</v>
      </c>
      <c r="L182" s="120">
        <v>-360</v>
      </c>
      <c r="M182" s="120">
        <v>360</v>
      </c>
      <c r="N182" s="121">
        <f t="shared" si="35"/>
        <v>5.21316E-2</v>
      </c>
      <c r="O182" s="5" t="s">
        <v>237</v>
      </c>
      <c r="P182" s="5" t="s">
        <v>239</v>
      </c>
      <c r="Q182" s="14" t="s">
        <v>244</v>
      </c>
      <c r="R182" s="49">
        <v>66</v>
      </c>
      <c r="S182" s="103">
        <v>44.996298000000003</v>
      </c>
      <c r="T182" s="103">
        <f t="shared" si="36"/>
        <v>0</v>
      </c>
      <c r="U182" s="138">
        <v>1</v>
      </c>
      <c r="V182" s="112">
        <v>1.30329E-2</v>
      </c>
    </row>
    <row r="183" spans="1:22" x14ac:dyDescent="0.25">
      <c r="A183" s="117">
        <v>162</v>
      </c>
      <c r="B183" s="117">
        <v>163</v>
      </c>
      <c r="C183" s="118">
        <f t="shared" si="58"/>
        <v>1.4042181818181817E-4</v>
      </c>
      <c r="D183" s="118">
        <f t="shared" si="59"/>
        <v>5.7565144242424236E-4</v>
      </c>
      <c r="E183" s="118">
        <f t="shared" si="60"/>
        <v>2.4005889939393931E-6</v>
      </c>
      <c r="F183" s="119">
        <f t="shared" si="61"/>
        <v>148.60995928940966</v>
      </c>
      <c r="G183" s="120">
        <v>0</v>
      </c>
      <c r="H183" s="120">
        <v>0</v>
      </c>
      <c r="I183" s="120">
        <v>1</v>
      </c>
      <c r="J183" s="120">
        <v>0</v>
      </c>
      <c r="K183" s="120">
        <v>1</v>
      </c>
      <c r="L183" s="120">
        <v>-360</v>
      </c>
      <c r="M183" s="120">
        <v>360</v>
      </c>
      <c r="N183" s="121">
        <f t="shared" si="35"/>
        <v>0.67964159999999996</v>
      </c>
      <c r="O183" s="5" t="s">
        <v>239</v>
      </c>
      <c r="P183" s="5" t="s">
        <v>238</v>
      </c>
      <c r="Q183" s="14" t="s">
        <v>244</v>
      </c>
      <c r="R183" s="49">
        <v>66</v>
      </c>
      <c r="S183" s="103">
        <v>15.000334000000001</v>
      </c>
      <c r="T183" s="103">
        <f t="shared" si="36"/>
        <v>0</v>
      </c>
      <c r="U183" s="138">
        <v>1</v>
      </c>
      <c r="V183" s="112">
        <v>0.16991039999999999</v>
      </c>
    </row>
    <row r="184" spans="1:22" x14ac:dyDescent="0.25">
      <c r="A184" s="6">
        <v>165</v>
      </c>
      <c r="B184" s="6">
        <v>166</v>
      </c>
      <c r="C184" s="38">
        <f t="shared" si="50"/>
        <v>1.1716445454545456E-3</v>
      </c>
      <c r="D184" s="38">
        <f t="shared" si="51"/>
        <v>1.242733090909091E-3</v>
      </c>
      <c r="E184" s="38">
        <f t="shared" si="52"/>
        <v>1.4013132054545456E-6</v>
      </c>
      <c r="F184" s="32">
        <f t="shared" si="49"/>
        <v>20.195712416253109</v>
      </c>
      <c r="G184" s="8">
        <v>0</v>
      </c>
      <c r="H184" s="8">
        <v>0</v>
      </c>
      <c r="I184" s="8">
        <v>1</v>
      </c>
      <c r="J184" s="8">
        <v>0</v>
      </c>
      <c r="K184" s="8">
        <v>1</v>
      </c>
      <c r="L184" s="8">
        <v>-360</v>
      </c>
      <c r="M184" s="8">
        <v>360</v>
      </c>
      <c r="N184" s="112">
        <f t="shared" si="35"/>
        <v>6.3716400000000006E-2</v>
      </c>
      <c r="O184" s="5" t="s">
        <v>207</v>
      </c>
      <c r="P184" s="5" t="s">
        <v>210</v>
      </c>
      <c r="Q184" s="14" t="s">
        <v>244</v>
      </c>
      <c r="R184" s="51">
        <v>22</v>
      </c>
      <c r="S184" s="103">
        <v>12.016946000000001</v>
      </c>
      <c r="T184" s="103">
        <f t="shared" si="36"/>
        <v>0</v>
      </c>
      <c r="U184" s="138">
        <v>1</v>
      </c>
      <c r="V184" s="112">
        <v>1.5929100000000002E-2</v>
      </c>
    </row>
    <row r="185" spans="1:22" x14ac:dyDescent="0.25">
      <c r="A185" s="6">
        <v>166</v>
      </c>
      <c r="B185" s="6">
        <v>167</v>
      </c>
      <c r="C185" s="38">
        <f t="shared" si="50"/>
        <v>2.4782057355371902E-2</v>
      </c>
      <c r="D185" s="38">
        <f t="shared" si="51"/>
        <v>2.6285687801652895E-2</v>
      </c>
      <c r="E185" s="38">
        <f t="shared" si="52"/>
        <v>2.9639897497190087E-5</v>
      </c>
      <c r="F185" s="32">
        <f t="shared" si="49"/>
        <v>20.195712416253109</v>
      </c>
      <c r="G185" s="8">
        <v>0</v>
      </c>
      <c r="H185" s="8">
        <v>0</v>
      </c>
      <c r="I185" s="8">
        <v>1</v>
      </c>
      <c r="J185" s="8">
        <v>0</v>
      </c>
      <c r="K185" s="8">
        <v>1</v>
      </c>
      <c r="L185" s="8">
        <v>-360</v>
      </c>
      <c r="M185" s="8">
        <v>360</v>
      </c>
      <c r="N185" s="112">
        <f t="shared" si="35"/>
        <v>1.3476984000000001</v>
      </c>
      <c r="O185" s="5" t="s">
        <v>210</v>
      </c>
      <c r="P185" s="5" t="s">
        <v>208</v>
      </c>
      <c r="Q185" s="14" t="s">
        <v>244</v>
      </c>
      <c r="R185" s="51">
        <v>22</v>
      </c>
      <c r="S185" s="103">
        <v>6.0102279999999997</v>
      </c>
      <c r="T185" s="103">
        <f t="shared" si="36"/>
        <v>0</v>
      </c>
      <c r="U185" s="138">
        <v>1</v>
      </c>
      <c r="V185" s="112">
        <v>0.33692460000000002</v>
      </c>
    </row>
    <row r="186" spans="1:22" x14ac:dyDescent="0.25">
      <c r="A186" s="6">
        <v>167</v>
      </c>
      <c r="B186" s="6">
        <v>168</v>
      </c>
      <c r="C186" s="38">
        <f t="shared" si="50"/>
        <v>8.6038947933884304E-3</v>
      </c>
      <c r="D186" s="38">
        <f t="shared" si="51"/>
        <v>9.1259288595041312E-3</v>
      </c>
      <c r="E186" s="38">
        <f t="shared" si="52"/>
        <v>1.0290451518842976E-5</v>
      </c>
      <c r="F186" s="32">
        <f t="shared" si="49"/>
        <v>20.195712416253109</v>
      </c>
      <c r="G186" s="8">
        <v>0</v>
      </c>
      <c r="H186" s="8">
        <v>0</v>
      </c>
      <c r="I186" s="8">
        <v>1</v>
      </c>
      <c r="J186" s="8">
        <v>0</v>
      </c>
      <c r="K186" s="8">
        <v>1</v>
      </c>
      <c r="L186" s="8">
        <v>-360</v>
      </c>
      <c r="M186" s="8">
        <v>360</v>
      </c>
      <c r="N186" s="112">
        <f t="shared" si="35"/>
        <v>0.46789720000000001</v>
      </c>
      <c r="O186" s="5" t="s">
        <v>208</v>
      </c>
      <c r="P186" s="5" t="s">
        <v>209</v>
      </c>
      <c r="Q186" s="14" t="s">
        <v>244</v>
      </c>
      <c r="R186" s="51">
        <v>22</v>
      </c>
      <c r="S186" s="103">
        <v>1.5990378E-11</v>
      </c>
      <c r="T186" s="103">
        <f t="shared" ref="T186:T220" si="62">IF(F186&lt;S186,1,0)</f>
        <v>0</v>
      </c>
      <c r="U186" s="138">
        <v>1</v>
      </c>
      <c r="V186" s="112">
        <v>0.1169743</v>
      </c>
    </row>
    <row r="187" spans="1:22" x14ac:dyDescent="0.25">
      <c r="A187" s="6">
        <v>169</v>
      </c>
      <c r="B187" s="6">
        <v>170</v>
      </c>
      <c r="C187" s="38">
        <f t="shared" si="50"/>
        <v>5.8108835537190083E-3</v>
      </c>
      <c r="D187" s="38">
        <f t="shared" si="51"/>
        <v>6.1634540165289254E-3</v>
      </c>
      <c r="E187" s="38">
        <f t="shared" si="52"/>
        <v>6.9499473119008267E-6</v>
      </c>
      <c r="F187" s="32">
        <f t="shared" si="49"/>
        <v>20.195712416253109</v>
      </c>
      <c r="G187" s="8">
        <v>0</v>
      </c>
      <c r="H187" s="8">
        <v>0</v>
      </c>
      <c r="I187" s="8">
        <v>1</v>
      </c>
      <c r="J187" s="8">
        <v>0</v>
      </c>
      <c r="K187" s="8">
        <v>1</v>
      </c>
      <c r="L187" s="8">
        <v>-360</v>
      </c>
      <c r="M187" s="8">
        <v>360</v>
      </c>
      <c r="N187" s="112">
        <f t="shared" ref="N187:N220" si="63">V187*$W$2</f>
        <v>0.3160076</v>
      </c>
      <c r="O187" s="5" t="s">
        <v>165</v>
      </c>
      <c r="P187" s="5" t="s">
        <v>167</v>
      </c>
      <c r="Q187" s="14" t="s">
        <v>244</v>
      </c>
      <c r="R187" s="51">
        <v>22</v>
      </c>
      <c r="S187" s="103">
        <v>7.2773093000000006E-12</v>
      </c>
      <c r="T187" s="103">
        <f t="shared" si="62"/>
        <v>0</v>
      </c>
      <c r="U187" s="138">
        <v>1</v>
      </c>
      <c r="V187" s="112">
        <v>7.90019E-2</v>
      </c>
    </row>
    <row r="188" spans="1:22" x14ac:dyDescent="0.25">
      <c r="A188" s="117">
        <v>29</v>
      </c>
      <c r="B188" s="117">
        <v>172</v>
      </c>
      <c r="C188" s="118">
        <f t="shared" si="50"/>
        <v>1.8388429752066116E-2</v>
      </c>
      <c r="D188" s="118">
        <f t="shared" si="51"/>
        <v>1.9504132231404958E-2</v>
      </c>
      <c r="E188" s="118">
        <f t="shared" si="52"/>
        <v>8.797190082644629E-5</v>
      </c>
      <c r="F188" s="119">
        <f t="shared" si="49"/>
        <v>40.391424832506218</v>
      </c>
      <c r="G188" s="120">
        <v>0</v>
      </c>
      <c r="H188" s="120">
        <v>0</v>
      </c>
      <c r="I188" s="120">
        <v>1</v>
      </c>
      <c r="J188" s="120">
        <v>0</v>
      </c>
      <c r="K188" s="120">
        <v>1</v>
      </c>
      <c r="L188" s="120">
        <v>-360</v>
      </c>
      <c r="M188" s="120">
        <v>360</v>
      </c>
      <c r="N188" s="121">
        <f t="shared" si="63"/>
        <v>2</v>
      </c>
      <c r="O188" s="5" t="s">
        <v>166</v>
      </c>
      <c r="P188" s="5" t="s">
        <v>172</v>
      </c>
      <c r="Q188" s="14" t="s">
        <v>244</v>
      </c>
      <c r="R188" s="51">
        <v>22</v>
      </c>
      <c r="S188" s="103">
        <v>36.431820000000002</v>
      </c>
      <c r="T188" s="103">
        <f t="shared" si="62"/>
        <v>0</v>
      </c>
      <c r="U188" s="138">
        <v>2</v>
      </c>
      <c r="V188" s="112">
        <v>0.5</v>
      </c>
    </row>
    <row r="189" spans="1:22" x14ac:dyDescent="0.25">
      <c r="A189" s="117">
        <v>171</v>
      </c>
      <c r="B189" s="117">
        <v>176</v>
      </c>
      <c r="C189" s="118">
        <f t="shared" si="50"/>
        <v>1.2258953168044076E-2</v>
      </c>
      <c r="D189" s="118">
        <f t="shared" si="51"/>
        <v>1.3002754820936638E-2</v>
      </c>
      <c r="E189" s="118">
        <f t="shared" si="52"/>
        <v>1.3195785123966945E-4</v>
      </c>
      <c r="F189" s="119">
        <f t="shared" si="49"/>
        <v>60.587137248759326</v>
      </c>
      <c r="G189" s="120">
        <v>0</v>
      </c>
      <c r="H189" s="120">
        <v>0</v>
      </c>
      <c r="I189" s="120">
        <v>1</v>
      </c>
      <c r="J189" s="120">
        <v>0</v>
      </c>
      <c r="K189" s="120">
        <v>1</v>
      </c>
      <c r="L189" s="120">
        <v>-360</v>
      </c>
      <c r="M189" s="120">
        <v>360</v>
      </c>
      <c r="N189" s="121">
        <f t="shared" si="63"/>
        <v>2</v>
      </c>
      <c r="O189" s="5" t="s">
        <v>170</v>
      </c>
      <c r="P189" s="5" t="s">
        <v>183</v>
      </c>
      <c r="Q189" s="14" t="s">
        <v>244</v>
      </c>
      <c r="R189" s="51">
        <v>22</v>
      </c>
      <c r="S189" s="103">
        <v>54.679402000000003</v>
      </c>
      <c r="T189" s="103">
        <f t="shared" si="62"/>
        <v>0</v>
      </c>
      <c r="U189" s="138">
        <v>3</v>
      </c>
      <c r="V189" s="112">
        <v>0.5</v>
      </c>
    </row>
    <row r="190" spans="1:22" x14ac:dyDescent="0.25">
      <c r="A190" s="6">
        <v>172</v>
      </c>
      <c r="B190" s="6">
        <v>173</v>
      </c>
      <c r="C190" s="38">
        <f t="shared" si="50"/>
        <v>7.976650743801654E-3</v>
      </c>
      <c r="D190" s="38">
        <f t="shared" si="51"/>
        <v>8.460627305785123E-3</v>
      </c>
      <c r="E190" s="38">
        <f t="shared" si="52"/>
        <v>3.8161014160661158E-5</v>
      </c>
      <c r="F190" s="32">
        <f t="shared" si="49"/>
        <v>40.391424832506218</v>
      </c>
      <c r="G190" s="8">
        <v>0</v>
      </c>
      <c r="H190" s="8">
        <v>0</v>
      </c>
      <c r="I190" s="8">
        <v>1</v>
      </c>
      <c r="J190" s="8">
        <v>0</v>
      </c>
      <c r="K190" s="8">
        <v>1</v>
      </c>
      <c r="L190" s="8">
        <v>-360</v>
      </c>
      <c r="M190" s="8">
        <v>360</v>
      </c>
      <c r="N190" s="112">
        <f t="shared" si="63"/>
        <v>0.86757280000000003</v>
      </c>
      <c r="O190" s="5" t="s">
        <v>172</v>
      </c>
      <c r="P190" s="5" t="s">
        <v>174</v>
      </c>
      <c r="Q190" s="14" t="s">
        <v>244</v>
      </c>
      <c r="R190" s="51">
        <v>22</v>
      </c>
      <c r="S190" s="103">
        <v>36.114395999999999</v>
      </c>
      <c r="T190" s="103">
        <f t="shared" si="62"/>
        <v>0</v>
      </c>
      <c r="U190" s="138">
        <v>2</v>
      </c>
      <c r="V190" s="112">
        <v>0.21689320000000001</v>
      </c>
    </row>
    <row r="191" spans="1:22" x14ac:dyDescent="0.25">
      <c r="A191" s="6">
        <v>173</v>
      </c>
      <c r="B191" s="6">
        <v>174</v>
      </c>
      <c r="C191" s="38">
        <f t="shared" ref="C191:C220" si="64">$Y$6*N191/$Y$2/U191</f>
        <v>5.8582227272727279E-4</v>
      </c>
      <c r="D191" s="38">
        <f t="shared" ref="D191:D220" si="65">$Z$6*N191/$Y$2/U191</f>
        <v>6.213665454545455E-4</v>
      </c>
      <c r="E191" s="38">
        <f t="shared" ref="E191:E220" si="66">$AA$6*N191/$Y$2*U191</f>
        <v>2.8026264109090912E-6</v>
      </c>
      <c r="F191" s="32">
        <f t="shared" si="49"/>
        <v>40.391424832506218</v>
      </c>
      <c r="G191" s="8">
        <v>0</v>
      </c>
      <c r="H191" s="8">
        <v>0</v>
      </c>
      <c r="I191" s="8">
        <v>1</v>
      </c>
      <c r="J191" s="8">
        <v>0</v>
      </c>
      <c r="K191" s="8">
        <v>1</v>
      </c>
      <c r="L191" s="8">
        <v>-360</v>
      </c>
      <c r="M191" s="8">
        <v>360</v>
      </c>
      <c r="N191" s="112">
        <f t="shared" si="63"/>
        <v>6.3716400000000006E-2</v>
      </c>
      <c r="O191" s="5" t="s">
        <v>174</v>
      </c>
      <c r="P191" s="5" t="s">
        <v>176</v>
      </c>
      <c r="Q191" s="14" t="s">
        <v>244</v>
      </c>
      <c r="R191" s="51">
        <v>22</v>
      </c>
      <c r="S191" s="103">
        <v>27.008243</v>
      </c>
      <c r="T191" s="103">
        <f t="shared" si="62"/>
        <v>0</v>
      </c>
      <c r="U191" s="138">
        <v>2</v>
      </c>
      <c r="V191" s="112">
        <v>1.5929100000000002E-2</v>
      </c>
    </row>
    <row r="192" spans="1:22" x14ac:dyDescent="0.25">
      <c r="A192" s="6">
        <v>174</v>
      </c>
      <c r="B192" s="6">
        <v>175</v>
      </c>
      <c r="C192" s="38">
        <f t="shared" si="64"/>
        <v>3.3847509090909086E-3</v>
      </c>
      <c r="D192" s="38">
        <f t="shared" si="65"/>
        <v>3.5901178181818182E-3</v>
      </c>
      <c r="E192" s="38">
        <f t="shared" si="66"/>
        <v>1.6192952596363637E-5</v>
      </c>
      <c r="F192" s="32">
        <f t="shared" si="49"/>
        <v>40.391424832506218</v>
      </c>
      <c r="G192" s="8">
        <v>0</v>
      </c>
      <c r="H192" s="8">
        <v>0</v>
      </c>
      <c r="I192" s="8">
        <v>1</v>
      </c>
      <c r="J192" s="8">
        <v>0</v>
      </c>
      <c r="K192" s="8">
        <v>1</v>
      </c>
      <c r="L192" s="8">
        <v>-360</v>
      </c>
      <c r="M192" s="8">
        <v>360</v>
      </c>
      <c r="N192" s="112">
        <f t="shared" si="63"/>
        <v>0.3681392</v>
      </c>
      <c r="O192" s="5" t="s">
        <v>176</v>
      </c>
      <c r="P192" s="5" t="s">
        <v>175</v>
      </c>
      <c r="Q192" s="14" t="s">
        <v>244</v>
      </c>
      <c r="R192" s="51">
        <v>22</v>
      </c>
      <c r="S192" s="103">
        <v>9.0029985999999997</v>
      </c>
      <c r="T192" s="103">
        <f t="shared" si="62"/>
        <v>0</v>
      </c>
      <c r="U192" s="138">
        <v>2</v>
      </c>
      <c r="V192" s="112">
        <v>9.20348E-2</v>
      </c>
    </row>
    <row r="193" spans="1:22" x14ac:dyDescent="0.25">
      <c r="A193" s="6">
        <v>176</v>
      </c>
      <c r="B193" s="6">
        <v>177</v>
      </c>
      <c r="C193" s="38">
        <f t="shared" si="64"/>
        <v>1.0615809669421487E-2</v>
      </c>
      <c r="D193" s="38">
        <f t="shared" si="65"/>
        <v>1.1259914975206613E-2</v>
      </c>
      <c r="E193" s="38">
        <f t="shared" si="66"/>
        <v>1.1427072229933886E-4</v>
      </c>
      <c r="F193" s="32">
        <f t="shared" si="49"/>
        <v>60.587137248759326</v>
      </c>
      <c r="G193" s="8">
        <v>0</v>
      </c>
      <c r="H193" s="8">
        <v>0</v>
      </c>
      <c r="I193" s="8">
        <v>1</v>
      </c>
      <c r="J193" s="8">
        <v>0</v>
      </c>
      <c r="K193" s="8">
        <v>1</v>
      </c>
      <c r="L193" s="8">
        <v>-360</v>
      </c>
      <c r="M193" s="8">
        <v>360</v>
      </c>
      <c r="N193" s="112">
        <f t="shared" si="63"/>
        <v>1.7319276000000001</v>
      </c>
      <c r="O193" s="5" t="s">
        <v>183</v>
      </c>
      <c r="P193" s="5" t="s">
        <v>189</v>
      </c>
      <c r="Q193" s="14" t="s">
        <v>244</v>
      </c>
      <c r="R193" s="51">
        <v>22</v>
      </c>
      <c r="S193" s="103">
        <v>36.206501000000003</v>
      </c>
      <c r="T193" s="103">
        <f t="shared" si="62"/>
        <v>0</v>
      </c>
      <c r="U193" s="138">
        <v>3</v>
      </c>
      <c r="V193" s="112">
        <v>0.43298190000000003</v>
      </c>
    </row>
    <row r="194" spans="1:22" x14ac:dyDescent="0.25">
      <c r="A194" s="6">
        <v>177</v>
      </c>
      <c r="B194" s="6">
        <v>178</v>
      </c>
      <c r="C194" s="38">
        <f t="shared" si="64"/>
        <v>1.0489571873278238E-2</v>
      </c>
      <c r="D194" s="38">
        <f t="shared" si="65"/>
        <v>1.1126017807162535E-2</v>
      </c>
      <c r="E194" s="38">
        <f t="shared" si="66"/>
        <v>1.1291187313041324E-4</v>
      </c>
      <c r="F194" s="32">
        <f t="shared" si="49"/>
        <v>60.587137248759326</v>
      </c>
      <c r="G194" s="8">
        <v>0</v>
      </c>
      <c r="H194" s="8">
        <v>0</v>
      </c>
      <c r="I194" s="8">
        <v>1</v>
      </c>
      <c r="J194" s="8">
        <v>0</v>
      </c>
      <c r="K194" s="8">
        <v>1</v>
      </c>
      <c r="L194" s="8">
        <v>-360</v>
      </c>
      <c r="M194" s="8">
        <v>360</v>
      </c>
      <c r="N194" s="112">
        <f t="shared" si="63"/>
        <v>1.7113324000000001</v>
      </c>
      <c r="O194" s="5" t="s">
        <v>189</v>
      </c>
      <c r="P194" s="5" t="s">
        <v>188</v>
      </c>
      <c r="Q194" s="14" t="s">
        <v>244</v>
      </c>
      <c r="R194" s="51">
        <v>22</v>
      </c>
      <c r="S194" s="103">
        <v>18.037960000000002</v>
      </c>
      <c r="T194" s="103">
        <f t="shared" si="62"/>
        <v>0</v>
      </c>
      <c r="U194" s="138">
        <v>3</v>
      </c>
      <c r="V194" s="112">
        <v>0.42783310000000002</v>
      </c>
    </row>
    <row r="195" spans="1:22" x14ac:dyDescent="0.25">
      <c r="A195" s="117">
        <v>179</v>
      </c>
      <c r="B195" s="117">
        <v>180</v>
      </c>
      <c r="C195" s="118">
        <f>$Y$7*N195/$Z$2/U195</f>
        <v>1.9081942148760329E-4</v>
      </c>
      <c r="D195" s="118">
        <f>$Z$7*N195/$Z$2/U195</f>
        <v>3.1290144692378325E-3</v>
      </c>
      <c r="E195" s="118">
        <f>$AA$7*N195/$Z$2*U195</f>
        <v>3.2621640211202928E-6</v>
      </c>
      <c r="F195" s="119">
        <f>U195*$Z$40</f>
        <v>148.60995928940966</v>
      </c>
      <c r="G195" s="120">
        <v>0</v>
      </c>
      <c r="H195" s="120">
        <v>0</v>
      </c>
      <c r="I195" s="120">
        <v>1</v>
      </c>
      <c r="J195" s="120">
        <v>0</v>
      </c>
      <c r="K195" s="120">
        <v>1</v>
      </c>
      <c r="L195" s="120">
        <v>-360</v>
      </c>
      <c r="M195" s="120">
        <v>360</v>
      </c>
      <c r="N195" s="121">
        <f t="shared" si="63"/>
        <v>0.92356599999999989</v>
      </c>
      <c r="O195" s="5" t="s">
        <v>173</v>
      </c>
      <c r="P195" s="5" t="s">
        <v>177</v>
      </c>
      <c r="Q195" s="14" t="s">
        <v>244</v>
      </c>
      <c r="R195" s="49">
        <v>66</v>
      </c>
      <c r="S195" s="103">
        <v>15.001480000000001</v>
      </c>
      <c r="T195" s="103">
        <f t="shared" si="62"/>
        <v>0</v>
      </c>
      <c r="U195" s="138">
        <v>1</v>
      </c>
      <c r="V195" s="112">
        <v>0.23089149999999997</v>
      </c>
    </row>
    <row r="196" spans="1:22" x14ac:dyDescent="0.25">
      <c r="A196" s="117">
        <v>180</v>
      </c>
      <c r="B196" s="117">
        <v>181</v>
      </c>
      <c r="C196" s="118">
        <f>$Y$7*N196/$Z$2/U196</f>
        <v>5.1993305785123969E-5</v>
      </c>
      <c r="D196" s="118">
        <f>$Z$7*N196/$Z$2/U196</f>
        <v>8.5257467419651051E-4</v>
      </c>
      <c r="E196" s="118">
        <f>$AA$7*N196/$Z$2*U196</f>
        <v>8.8885444756657473E-7</v>
      </c>
      <c r="F196" s="119">
        <f>U196*$Z$40</f>
        <v>148.60995928940966</v>
      </c>
      <c r="G196" s="120">
        <v>0</v>
      </c>
      <c r="H196" s="120">
        <v>0</v>
      </c>
      <c r="I196" s="120">
        <v>1</v>
      </c>
      <c r="J196" s="120">
        <v>0</v>
      </c>
      <c r="K196" s="120">
        <v>1</v>
      </c>
      <c r="L196" s="120">
        <v>-360</v>
      </c>
      <c r="M196" s="120">
        <v>360</v>
      </c>
      <c r="N196" s="121">
        <f t="shared" si="63"/>
        <v>0.25164760000000003</v>
      </c>
      <c r="O196" s="5" t="s">
        <v>177</v>
      </c>
      <c r="P196" s="5" t="s">
        <v>178</v>
      </c>
      <c r="Q196" s="14" t="s">
        <v>244</v>
      </c>
      <c r="R196" s="49">
        <v>66</v>
      </c>
      <c r="S196" s="103">
        <v>15.000120000000001</v>
      </c>
      <c r="T196" s="103">
        <f t="shared" si="62"/>
        <v>0</v>
      </c>
      <c r="U196" s="138">
        <v>1</v>
      </c>
      <c r="V196" s="112">
        <v>6.2911900000000007E-2</v>
      </c>
    </row>
    <row r="197" spans="1:22" x14ac:dyDescent="0.25">
      <c r="A197" s="6">
        <v>182</v>
      </c>
      <c r="B197" s="6">
        <v>183</v>
      </c>
      <c r="C197" s="38">
        <f t="shared" si="64"/>
        <v>2.3551238842975208E-3</v>
      </c>
      <c r="D197" s="38">
        <f t="shared" si="65"/>
        <v>2.4980190413223143E-3</v>
      </c>
      <c r="E197" s="38">
        <f t="shared" si="66"/>
        <v>2.8167810897520663E-6</v>
      </c>
      <c r="F197" s="32">
        <f t="shared" si="49"/>
        <v>20.195712416253109</v>
      </c>
      <c r="G197" s="8">
        <v>0</v>
      </c>
      <c r="H197" s="8">
        <v>0</v>
      </c>
      <c r="I197" s="8">
        <v>1</v>
      </c>
      <c r="J197" s="8">
        <v>0</v>
      </c>
      <c r="K197" s="8">
        <v>1</v>
      </c>
      <c r="L197" s="8">
        <v>-360</v>
      </c>
      <c r="M197" s="8">
        <v>360</v>
      </c>
      <c r="N197" s="112">
        <f t="shared" si="63"/>
        <v>0.12807640000000001</v>
      </c>
      <c r="O197" s="5" t="s">
        <v>179</v>
      </c>
      <c r="P197" s="5" t="s">
        <v>180</v>
      </c>
      <c r="Q197" s="14" t="s">
        <v>244</v>
      </c>
      <c r="R197" s="51">
        <v>22</v>
      </c>
      <c r="S197" s="103">
        <v>9.0020600000000002</v>
      </c>
      <c r="T197" s="103">
        <f t="shared" si="62"/>
        <v>0</v>
      </c>
      <c r="U197" s="138">
        <v>1</v>
      </c>
      <c r="V197" s="112">
        <v>3.2019100000000002E-2</v>
      </c>
    </row>
    <row r="198" spans="1:22" x14ac:dyDescent="0.25">
      <c r="A198" s="6">
        <v>183</v>
      </c>
      <c r="B198" s="6">
        <v>184</v>
      </c>
      <c r="C198" s="38">
        <f t="shared" si="64"/>
        <v>8.3790337190082637E-3</v>
      </c>
      <c r="D198" s="38">
        <f t="shared" si="65"/>
        <v>8.88742452892562E-3</v>
      </c>
      <c r="E198" s="38">
        <f t="shared" si="66"/>
        <v>1.0021512620826446E-5</v>
      </c>
      <c r="F198" s="32">
        <f t="shared" si="49"/>
        <v>20.195712416253109</v>
      </c>
      <c r="G198" s="8">
        <v>0</v>
      </c>
      <c r="H198" s="8">
        <v>0</v>
      </c>
      <c r="I198" s="8">
        <v>1</v>
      </c>
      <c r="J198" s="8">
        <v>0</v>
      </c>
      <c r="K198" s="8">
        <v>1</v>
      </c>
      <c r="L198" s="8">
        <v>-360</v>
      </c>
      <c r="M198" s="8">
        <v>360</v>
      </c>
      <c r="N198" s="112">
        <f t="shared" si="63"/>
        <v>0.45566879999999998</v>
      </c>
      <c r="O198" s="5" t="s">
        <v>180</v>
      </c>
      <c r="P198" s="5" t="s">
        <v>181</v>
      </c>
      <c r="Q198" s="14" t="s">
        <v>244</v>
      </c>
      <c r="R198" s="51">
        <v>22</v>
      </c>
      <c r="S198" s="103">
        <v>9.0103763000000008</v>
      </c>
      <c r="T198" s="103">
        <f t="shared" si="62"/>
        <v>0</v>
      </c>
      <c r="U198" s="138">
        <v>1</v>
      </c>
      <c r="V198" s="112">
        <v>0.1139172</v>
      </c>
    </row>
    <row r="199" spans="1:22" x14ac:dyDescent="0.25">
      <c r="A199" s="6">
        <v>184</v>
      </c>
      <c r="B199" s="6">
        <v>186</v>
      </c>
      <c r="C199" s="38">
        <f t="shared" si="64"/>
        <v>3.9338853223140492E-2</v>
      </c>
      <c r="D199" s="38">
        <f t="shared" si="65"/>
        <v>4.1725704991735536E-2</v>
      </c>
      <c r="E199" s="38">
        <f t="shared" si="66"/>
        <v>4.7050152474049586E-5</v>
      </c>
      <c r="F199" s="32">
        <f t="shared" si="49"/>
        <v>20.195712416253109</v>
      </c>
      <c r="G199" s="8">
        <v>0</v>
      </c>
      <c r="H199" s="8">
        <v>0</v>
      </c>
      <c r="I199" s="8">
        <v>1</v>
      </c>
      <c r="J199" s="8">
        <v>0</v>
      </c>
      <c r="K199" s="8">
        <v>1</v>
      </c>
      <c r="L199" s="8">
        <v>-360</v>
      </c>
      <c r="M199" s="8">
        <v>360</v>
      </c>
      <c r="N199" s="112">
        <f t="shared" si="63"/>
        <v>2.1393263999999999</v>
      </c>
      <c r="O199" s="5" t="s">
        <v>181</v>
      </c>
      <c r="P199" s="5" t="s">
        <v>185</v>
      </c>
      <c r="Q199" s="14" t="s">
        <v>244</v>
      </c>
      <c r="R199" s="51">
        <v>22</v>
      </c>
      <c r="S199" s="103">
        <v>9.0482414000000002</v>
      </c>
      <c r="T199" s="103">
        <f t="shared" si="62"/>
        <v>0</v>
      </c>
      <c r="U199" s="138">
        <v>1</v>
      </c>
      <c r="V199" s="112">
        <v>0.53483159999999996</v>
      </c>
    </row>
    <row r="200" spans="1:22" x14ac:dyDescent="0.25">
      <c r="A200" s="6">
        <v>29</v>
      </c>
      <c r="B200" s="6">
        <v>186</v>
      </c>
      <c r="C200" s="38">
        <f t="shared" si="64"/>
        <v>9.1942148760330578E-3</v>
      </c>
      <c r="D200" s="38">
        <f t="shared" si="65"/>
        <v>9.7520661157024791E-3</v>
      </c>
      <c r="E200" s="38">
        <f t="shared" si="66"/>
        <v>1.7594380165289258E-4</v>
      </c>
      <c r="F200" s="32">
        <f t="shared" si="49"/>
        <v>80.782849665012435</v>
      </c>
      <c r="G200" s="8">
        <v>0</v>
      </c>
      <c r="H200" s="8">
        <v>0</v>
      </c>
      <c r="I200" s="8">
        <v>1</v>
      </c>
      <c r="J200" s="8">
        <v>0</v>
      </c>
      <c r="K200" s="8">
        <v>1</v>
      </c>
      <c r="L200" s="8">
        <v>-360</v>
      </c>
      <c r="M200" s="8">
        <v>360</v>
      </c>
      <c r="N200" s="112">
        <f t="shared" si="63"/>
        <v>2</v>
      </c>
      <c r="O200" s="5" t="s">
        <v>166</v>
      </c>
      <c r="P200" s="5" t="s">
        <v>185</v>
      </c>
      <c r="Q200" s="14" t="s">
        <v>244</v>
      </c>
      <c r="R200" s="51">
        <v>22</v>
      </c>
      <c r="S200" s="103">
        <v>37.432043</v>
      </c>
      <c r="T200" s="103">
        <f t="shared" si="62"/>
        <v>0</v>
      </c>
      <c r="U200" s="138">
        <v>4</v>
      </c>
      <c r="V200" s="112">
        <v>0.5</v>
      </c>
    </row>
    <row r="201" spans="1:22" x14ac:dyDescent="0.25">
      <c r="A201" s="6">
        <v>186</v>
      </c>
      <c r="B201" s="6">
        <v>187</v>
      </c>
      <c r="C201" s="38">
        <f t="shared" si="64"/>
        <v>3.6912720578512394E-2</v>
      </c>
      <c r="D201" s="38">
        <f t="shared" si="65"/>
        <v>3.9152368793388431E-2</v>
      </c>
      <c r="E201" s="38">
        <f t="shared" si="66"/>
        <v>4.4148443311239671E-5</v>
      </c>
      <c r="F201" s="32">
        <f t="shared" si="49"/>
        <v>20.195712416253109</v>
      </c>
      <c r="G201" s="8">
        <v>0</v>
      </c>
      <c r="H201" s="8">
        <v>0</v>
      </c>
      <c r="I201" s="8">
        <v>1</v>
      </c>
      <c r="J201" s="8">
        <v>0</v>
      </c>
      <c r="K201" s="8">
        <v>1</v>
      </c>
      <c r="L201" s="8">
        <v>-360</v>
      </c>
      <c r="M201" s="8">
        <v>360</v>
      </c>
      <c r="N201" s="112">
        <f t="shared" si="63"/>
        <v>2.0073884</v>
      </c>
      <c r="O201" s="5" t="s">
        <v>185</v>
      </c>
      <c r="P201" s="5" t="s">
        <v>186</v>
      </c>
      <c r="Q201" s="14" t="s">
        <v>244</v>
      </c>
      <c r="R201" s="51">
        <v>22</v>
      </c>
      <c r="S201" s="103">
        <v>2.0157564999999998E-3</v>
      </c>
      <c r="T201" s="103">
        <f t="shared" si="62"/>
        <v>0</v>
      </c>
      <c r="U201" s="138">
        <v>1</v>
      </c>
      <c r="V201" s="112">
        <v>0.50184709999999999</v>
      </c>
    </row>
    <row r="202" spans="1:22" x14ac:dyDescent="0.25">
      <c r="A202" s="6">
        <v>186</v>
      </c>
      <c r="B202" s="6">
        <v>189</v>
      </c>
      <c r="C202" s="38">
        <f t="shared" si="64"/>
        <v>1.8308425371900826E-2</v>
      </c>
      <c r="D202" s="38">
        <f t="shared" si="65"/>
        <v>1.9419273652892564E-2</v>
      </c>
      <c r="E202" s="38">
        <f t="shared" si="66"/>
        <v>8.7589152680330595E-5</v>
      </c>
      <c r="F202" s="32">
        <f t="shared" si="49"/>
        <v>40.391424832506218</v>
      </c>
      <c r="G202" s="8">
        <v>0</v>
      </c>
      <c r="H202" s="8">
        <v>0</v>
      </c>
      <c r="I202" s="8">
        <v>1</v>
      </c>
      <c r="J202" s="8">
        <v>0</v>
      </c>
      <c r="K202" s="8">
        <v>1</v>
      </c>
      <c r="L202" s="8">
        <v>-360</v>
      </c>
      <c r="M202" s="8">
        <v>360</v>
      </c>
      <c r="N202" s="112">
        <f t="shared" si="63"/>
        <v>1.9912984</v>
      </c>
      <c r="O202" s="5" t="s">
        <v>185</v>
      </c>
      <c r="P202" s="5" t="s">
        <v>199</v>
      </c>
      <c r="Q202" s="14" t="s">
        <v>244</v>
      </c>
      <c r="R202" s="51">
        <v>22</v>
      </c>
      <c r="S202" s="103">
        <v>28.181944000000001</v>
      </c>
      <c r="T202" s="103">
        <f t="shared" si="62"/>
        <v>0</v>
      </c>
      <c r="U202" s="138">
        <v>2</v>
      </c>
      <c r="V202" s="112">
        <v>0.49782460000000001</v>
      </c>
    </row>
    <row r="203" spans="1:22" x14ac:dyDescent="0.25">
      <c r="A203" s="6">
        <v>187</v>
      </c>
      <c r="B203" s="6">
        <v>188</v>
      </c>
      <c r="C203" s="38">
        <f t="shared" si="64"/>
        <v>2.0071809586776856E-2</v>
      </c>
      <c r="D203" s="38">
        <f t="shared" si="65"/>
        <v>2.1289649719008263E-2</v>
      </c>
      <c r="E203" s="38">
        <f t="shared" si="66"/>
        <v>2.4006335317685951E-5</v>
      </c>
      <c r="F203" s="32">
        <f t="shared" si="49"/>
        <v>20.195712416253109</v>
      </c>
      <c r="G203" s="8">
        <v>0</v>
      </c>
      <c r="H203" s="8">
        <v>0</v>
      </c>
      <c r="I203" s="8">
        <v>1</v>
      </c>
      <c r="J203" s="8">
        <v>0</v>
      </c>
      <c r="K203" s="8">
        <v>1</v>
      </c>
      <c r="L203" s="8">
        <v>-360</v>
      </c>
      <c r="M203" s="8">
        <v>360</v>
      </c>
      <c r="N203" s="112">
        <f t="shared" si="63"/>
        <v>1.0915455999999999</v>
      </c>
      <c r="O203" s="5" t="s">
        <v>186</v>
      </c>
      <c r="P203" s="5" t="s">
        <v>187</v>
      </c>
      <c r="Q203" s="14" t="s">
        <v>244</v>
      </c>
      <c r="R203" s="51">
        <v>22</v>
      </c>
      <c r="S203" s="103">
        <v>2.4282217999999999E-10</v>
      </c>
      <c r="T203" s="103">
        <f t="shared" si="62"/>
        <v>0</v>
      </c>
      <c r="U203" s="138">
        <v>1</v>
      </c>
      <c r="V203" s="112">
        <v>0.27288639999999997</v>
      </c>
    </row>
    <row r="204" spans="1:22" x14ac:dyDescent="0.25">
      <c r="A204" s="6">
        <v>189</v>
      </c>
      <c r="B204" s="6">
        <v>191</v>
      </c>
      <c r="C204" s="38">
        <f t="shared" si="64"/>
        <v>1.5000600619834711E-2</v>
      </c>
      <c r="D204" s="38">
        <f t="shared" si="65"/>
        <v>1.5910749421487604E-2</v>
      </c>
      <c r="E204" s="38">
        <f t="shared" si="66"/>
        <v>7.1764221733884305E-5</v>
      </c>
      <c r="F204" s="32">
        <f t="shared" si="49"/>
        <v>40.391424832506218</v>
      </c>
      <c r="G204" s="8">
        <v>0</v>
      </c>
      <c r="H204" s="8">
        <v>0</v>
      </c>
      <c r="I204" s="8">
        <v>1</v>
      </c>
      <c r="J204" s="8">
        <v>0</v>
      </c>
      <c r="K204" s="8">
        <v>1</v>
      </c>
      <c r="L204" s="8">
        <v>-360</v>
      </c>
      <c r="M204" s="8">
        <v>360</v>
      </c>
      <c r="N204" s="112">
        <f t="shared" si="63"/>
        <v>1.631526</v>
      </c>
      <c r="O204" s="5" t="s">
        <v>199</v>
      </c>
      <c r="P204" s="5" t="s">
        <v>131</v>
      </c>
      <c r="Q204" s="14" t="s">
        <v>244</v>
      </c>
      <c r="R204" s="51">
        <v>22</v>
      </c>
      <c r="S204" s="103">
        <v>17.02449</v>
      </c>
      <c r="T204" s="103">
        <f t="shared" si="62"/>
        <v>0</v>
      </c>
      <c r="U204" s="138">
        <v>2</v>
      </c>
      <c r="V204" s="112">
        <v>0.40788150000000001</v>
      </c>
    </row>
    <row r="205" spans="1:22" x14ac:dyDescent="0.25">
      <c r="A205" s="65">
        <v>20</v>
      </c>
      <c r="B205" s="65">
        <v>190</v>
      </c>
      <c r="C205" s="66">
        <f>$Y$7*N205/$Z$2/U205</f>
        <v>6.6115702479338837E-4</v>
      </c>
      <c r="D205" s="66">
        <f>$Z$7*N205/$Z$2/U205</f>
        <v>1.0841505968778696E-2</v>
      </c>
      <c r="E205" s="66">
        <f>$AA$7*N205/$Z$2*U205</f>
        <v>1.1302846648301192E-5</v>
      </c>
      <c r="F205" s="67">
        <f>U205*$Z$40</f>
        <v>148.60995928940966</v>
      </c>
      <c r="G205" s="68">
        <v>0</v>
      </c>
      <c r="H205" s="68">
        <v>0</v>
      </c>
      <c r="I205" s="68">
        <v>1</v>
      </c>
      <c r="J205" s="68">
        <v>0</v>
      </c>
      <c r="K205" s="68">
        <v>1</v>
      </c>
      <c r="L205" s="68">
        <v>-360</v>
      </c>
      <c r="M205" s="68">
        <v>360</v>
      </c>
      <c r="N205" s="69">
        <f t="shared" si="63"/>
        <v>3.2</v>
      </c>
      <c r="O205" s="5" t="s">
        <v>61</v>
      </c>
      <c r="P205" s="5" t="s">
        <v>206</v>
      </c>
      <c r="Q205" s="14" t="s">
        <v>244</v>
      </c>
      <c r="R205" s="49">
        <v>66</v>
      </c>
      <c r="S205" s="103">
        <v>120.09826</v>
      </c>
      <c r="T205" s="103">
        <f t="shared" si="62"/>
        <v>0</v>
      </c>
      <c r="U205" s="138">
        <v>1</v>
      </c>
      <c r="V205" s="112">
        <v>0.8</v>
      </c>
    </row>
    <row r="206" spans="1:22" x14ac:dyDescent="0.25">
      <c r="A206" s="6">
        <v>191</v>
      </c>
      <c r="B206" s="6">
        <v>192</v>
      </c>
      <c r="C206" s="38">
        <f t="shared" si="64"/>
        <v>4.9291914462809916E-3</v>
      </c>
      <c r="D206" s="38">
        <f t="shared" si="65"/>
        <v>5.2282659834710747E-3</v>
      </c>
      <c r="E206" s="38">
        <f t="shared" si="66"/>
        <v>2.3581694952396699E-5</v>
      </c>
      <c r="F206" s="32">
        <f t="shared" si="49"/>
        <v>40.391424832506218</v>
      </c>
      <c r="G206" s="8">
        <v>0</v>
      </c>
      <c r="H206" s="8">
        <v>0</v>
      </c>
      <c r="I206" s="8">
        <v>1</v>
      </c>
      <c r="J206" s="8">
        <v>0</v>
      </c>
      <c r="K206" s="8">
        <v>1</v>
      </c>
      <c r="L206" s="8">
        <v>-360</v>
      </c>
      <c r="M206" s="8">
        <v>360</v>
      </c>
      <c r="N206" s="112">
        <f t="shared" si="63"/>
        <v>0.53611880000000001</v>
      </c>
      <c r="O206" s="5" t="s">
        <v>131</v>
      </c>
      <c r="P206" s="5" t="s">
        <v>200</v>
      </c>
      <c r="Q206" s="14" t="s">
        <v>244</v>
      </c>
      <c r="R206" s="51">
        <v>22</v>
      </c>
      <c r="S206" s="103">
        <v>12.009522</v>
      </c>
      <c r="T206" s="103">
        <f t="shared" si="62"/>
        <v>0</v>
      </c>
      <c r="U206" s="138">
        <v>2</v>
      </c>
      <c r="V206" s="112">
        <v>0.1340297</v>
      </c>
    </row>
    <row r="207" spans="1:22" x14ac:dyDescent="0.25">
      <c r="A207" s="6">
        <v>192</v>
      </c>
      <c r="B207" s="6">
        <v>193</v>
      </c>
      <c r="C207" s="38">
        <f t="shared" si="64"/>
        <v>4.8877696694214871E-3</v>
      </c>
      <c r="D207" s="38">
        <f t="shared" si="65"/>
        <v>5.1843309752066117E-3</v>
      </c>
      <c r="E207" s="38">
        <f t="shared" si="66"/>
        <v>2.3383529448595042E-5</v>
      </c>
      <c r="F207" s="32">
        <f t="shared" si="49"/>
        <v>40.391424832506218</v>
      </c>
      <c r="G207" s="8">
        <v>0</v>
      </c>
      <c r="H207" s="8">
        <v>0</v>
      </c>
      <c r="I207" s="8">
        <v>1</v>
      </c>
      <c r="J207" s="8">
        <v>0</v>
      </c>
      <c r="K207" s="8">
        <v>1</v>
      </c>
      <c r="L207" s="8">
        <v>-360</v>
      </c>
      <c r="M207" s="8">
        <v>360</v>
      </c>
      <c r="N207" s="112">
        <f t="shared" si="63"/>
        <v>0.53161360000000002</v>
      </c>
      <c r="O207" s="5" t="s">
        <v>200</v>
      </c>
      <c r="P207" s="5" t="s">
        <v>201</v>
      </c>
      <c r="Q207" s="14" t="s">
        <v>244</v>
      </c>
      <c r="R207" s="51">
        <v>22</v>
      </c>
      <c r="S207" s="103">
        <v>6.0011609999999997</v>
      </c>
      <c r="T207" s="103">
        <f t="shared" si="62"/>
        <v>0</v>
      </c>
      <c r="U207" s="138">
        <v>2</v>
      </c>
      <c r="V207" s="112">
        <v>0.1329034</v>
      </c>
    </row>
    <row r="208" spans="1:22" x14ac:dyDescent="0.25">
      <c r="A208" s="6">
        <v>193</v>
      </c>
      <c r="B208" s="6">
        <v>194</v>
      </c>
      <c r="C208" s="38">
        <f t="shared" si="64"/>
        <v>7.2428935537190075E-3</v>
      </c>
      <c r="D208" s="38">
        <f t="shared" si="65"/>
        <v>7.682350016528925E-3</v>
      </c>
      <c r="E208" s="38">
        <f t="shared" si="66"/>
        <v>3.4650653807603308E-5</v>
      </c>
      <c r="F208" s="32">
        <f t="shared" si="49"/>
        <v>40.391424832506218</v>
      </c>
      <c r="G208" s="8">
        <v>0</v>
      </c>
      <c r="H208" s="8">
        <v>0</v>
      </c>
      <c r="I208" s="8">
        <v>1</v>
      </c>
      <c r="J208" s="8">
        <v>0</v>
      </c>
      <c r="K208" s="8">
        <v>1</v>
      </c>
      <c r="L208" s="8">
        <v>-360</v>
      </c>
      <c r="M208" s="8">
        <v>360</v>
      </c>
      <c r="N208" s="112">
        <f t="shared" si="63"/>
        <v>0.78776639999999998</v>
      </c>
      <c r="O208" s="5" t="s">
        <v>201</v>
      </c>
      <c r="P208" s="5" t="s">
        <v>202</v>
      </c>
      <c r="Q208" s="14" t="s">
        <v>244</v>
      </c>
      <c r="R208" s="51">
        <v>22</v>
      </c>
      <c r="S208" s="103">
        <v>1.7941805000000001E-10</v>
      </c>
      <c r="T208" s="103">
        <f t="shared" si="62"/>
        <v>0</v>
      </c>
      <c r="U208" s="138">
        <v>2</v>
      </c>
      <c r="V208" s="112">
        <v>0.19694159999999999</v>
      </c>
    </row>
    <row r="209" spans="1:22" x14ac:dyDescent="0.25">
      <c r="A209" s="6">
        <v>196</v>
      </c>
      <c r="B209" s="6">
        <v>197</v>
      </c>
      <c r="C209" s="38">
        <f t="shared" si="64"/>
        <v>1.4527208884297521E-3</v>
      </c>
      <c r="D209" s="38">
        <f t="shared" si="65"/>
        <v>1.5408635041322314E-3</v>
      </c>
      <c r="E209" s="38">
        <f t="shared" si="66"/>
        <v>2.7799789247603307E-5</v>
      </c>
      <c r="F209" s="32">
        <f t="shared" si="49"/>
        <v>80.782849665012435</v>
      </c>
      <c r="G209" s="8">
        <v>0</v>
      </c>
      <c r="H209" s="8">
        <v>0</v>
      </c>
      <c r="I209" s="8">
        <v>1</v>
      </c>
      <c r="J209" s="8">
        <v>0</v>
      </c>
      <c r="K209" s="8">
        <v>1</v>
      </c>
      <c r="L209" s="8">
        <v>-360</v>
      </c>
      <c r="M209" s="8">
        <v>360</v>
      </c>
      <c r="N209" s="112">
        <f t="shared" si="63"/>
        <v>0.3160076</v>
      </c>
      <c r="O209" s="5" t="s">
        <v>203</v>
      </c>
      <c r="P209" s="5" t="s">
        <v>205</v>
      </c>
      <c r="Q209" s="14" t="s">
        <v>244</v>
      </c>
      <c r="R209" s="51">
        <v>22</v>
      </c>
      <c r="S209" s="103">
        <v>59.923442000000001</v>
      </c>
      <c r="T209" s="103">
        <f t="shared" si="62"/>
        <v>0</v>
      </c>
      <c r="U209" s="138">
        <v>4</v>
      </c>
      <c r="V209" s="112">
        <v>7.90019E-2</v>
      </c>
    </row>
    <row r="210" spans="1:22" x14ac:dyDescent="0.25">
      <c r="A210" s="6">
        <v>197</v>
      </c>
      <c r="B210" s="6">
        <v>198</v>
      </c>
      <c r="C210" s="38">
        <f t="shared" si="64"/>
        <v>4.8345130991735534E-3</v>
      </c>
      <c r="D210" s="38">
        <f t="shared" si="65"/>
        <v>5.1278431074380168E-3</v>
      </c>
      <c r="E210" s="38">
        <f t="shared" si="66"/>
        <v>9.2514980917685961E-5</v>
      </c>
      <c r="F210" s="32">
        <f t="shared" si="49"/>
        <v>80.782849665012435</v>
      </c>
      <c r="G210" s="8">
        <v>0</v>
      </c>
      <c r="H210" s="8">
        <v>0</v>
      </c>
      <c r="I210" s="8">
        <v>1</v>
      </c>
      <c r="J210" s="8">
        <v>0</v>
      </c>
      <c r="K210" s="8">
        <v>1</v>
      </c>
      <c r="L210" s="8">
        <v>-360</v>
      </c>
      <c r="M210" s="8">
        <v>360</v>
      </c>
      <c r="N210" s="112">
        <f t="shared" si="63"/>
        <v>1.0516424</v>
      </c>
      <c r="O210" s="5" t="s">
        <v>205</v>
      </c>
      <c r="P210" s="5" t="s">
        <v>211</v>
      </c>
      <c r="Q210" s="14" t="s">
        <v>244</v>
      </c>
      <c r="R210" s="51">
        <v>22</v>
      </c>
      <c r="S210" s="103">
        <v>59.764358000000001</v>
      </c>
      <c r="T210" s="103">
        <f t="shared" si="62"/>
        <v>0</v>
      </c>
      <c r="U210" s="138">
        <v>4</v>
      </c>
      <c r="V210" s="112">
        <v>0.26291059999999999</v>
      </c>
    </row>
    <row r="211" spans="1:22" x14ac:dyDescent="0.25">
      <c r="A211" s="6">
        <v>198</v>
      </c>
      <c r="B211" s="6">
        <v>199</v>
      </c>
      <c r="C211" s="38">
        <f t="shared" si="64"/>
        <v>1.7840951033057852E-3</v>
      </c>
      <c r="D211" s="38">
        <f t="shared" si="65"/>
        <v>1.8923435702479338E-3</v>
      </c>
      <c r="E211" s="38">
        <f t="shared" si="66"/>
        <v>3.4141085369256203E-5</v>
      </c>
      <c r="F211" s="32">
        <f t="shared" si="49"/>
        <v>80.782849665012435</v>
      </c>
      <c r="G211" s="8">
        <v>0</v>
      </c>
      <c r="H211" s="8">
        <v>0</v>
      </c>
      <c r="I211" s="8">
        <v>1</v>
      </c>
      <c r="J211" s="8">
        <v>0</v>
      </c>
      <c r="K211" s="8">
        <v>1</v>
      </c>
      <c r="L211" s="8">
        <v>-360</v>
      </c>
      <c r="M211" s="8">
        <v>360</v>
      </c>
      <c r="N211" s="112">
        <f t="shared" si="63"/>
        <v>0.38809080000000001</v>
      </c>
      <c r="O211" s="5" t="s">
        <v>211</v>
      </c>
      <c r="P211" s="5" t="s">
        <v>214</v>
      </c>
      <c r="Q211" s="14" t="s">
        <v>244</v>
      </c>
      <c r="R211" s="51">
        <v>22</v>
      </c>
      <c r="S211" s="103">
        <v>51.537892999999997</v>
      </c>
      <c r="T211" s="103">
        <f t="shared" si="62"/>
        <v>0</v>
      </c>
      <c r="U211" s="138">
        <v>4</v>
      </c>
      <c r="V211" s="112">
        <v>9.7022700000000003E-2</v>
      </c>
    </row>
    <row r="212" spans="1:22" x14ac:dyDescent="0.25">
      <c r="A212" s="6">
        <v>199</v>
      </c>
      <c r="B212" s="6">
        <v>203</v>
      </c>
      <c r="C212" s="38">
        <f t="shared" si="64"/>
        <v>1.5113031157024795E-2</v>
      </c>
      <c r="D212" s="38">
        <f t="shared" si="65"/>
        <v>1.6030001586776862E-2</v>
      </c>
      <c r="E212" s="38">
        <f t="shared" si="66"/>
        <v>7.2302099529917375E-5</v>
      </c>
      <c r="F212" s="32">
        <f t="shared" si="49"/>
        <v>40.391424832506218</v>
      </c>
      <c r="G212" s="8">
        <v>0</v>
      </c>
      <c r="H212" s="8">
        <v>0</v>
      </c>
      <c r="I212" s="8">
        <v>1</v>
      </c>
      <c r="J212" s="8">
        <v>0</v>
      </c>
      <c r="K212" s="8">
        <v>1</v>
      </c>
      <c r="L212" s="8">
        <v>-360</v>
      </c>
      <c r="M212" s="8">
        <v>360</v>
      </c>
      <c r="N212" s="112">
        <f t="shared" si="63"/>
        <v>1.6437544000000002</v>
      </c>
      <c r="O212" s="5" t="s">
        <v>214</v>
      </c>
      <c r="P212" s="5" t="s">
        <v>221</v>
      </c>
      <c r="Q212" s="14" t="s">
        <v>244</v>
      </c>
      <c r="R212" s="51">
        <v>22</v>
      </c>
      <c r="S212" s="103">
        <v>33.244965999999998</v>
      </c>
      <c r="T212" s="103">
        <f t="shared" si="62"/>
        <v>0</v>
      </c>
      <c r="U212" s="138">
        <v>2</v>
      </c>
      <c r="V212" s="112">
        <v>0.41093860000000004</v>
      </c>
    </row>
    <row r="213" spans="1:22" x14ac:dyDescent="0.25">
      <c r="A213" s="6">
        <v>199</v>
      </c>
      <c r="B213" s="6">
        <v>200</v>
      </c>
      <c r="C213" s="38">
        <f t="shared" si="64"/>
        <v>2.8379834545454549E-2</v>
      </c>
      <c r="D213" s="38">
        <f t="shared" si="65"/>
        <v>3.0101757090909093E-2</v>
      </c>
      <c r="E213" s="38">
        <f t="shared" si="66"/>
        <v>3.3942919865454547E-5</v>
      </c>
      <c r="F213" s="32">
        <f t="shared" si="49"/>
        <v>20.195712416253109</v>
      </c>
      <c r="G213" s="8">
        <v>0</v>
      </c>
      <c r="H213" s="8">
        <v>0</v>
      </c>
      <c r="I213" s="8">
        <v>1</v>
      </c>
      <c r="J213" s="8">
        <v>0</v>
      </c>
      <c r="K213" s="8">
        <v>1</v>
      </c>
      <c r="L213" s="8">
        <v>-360</v>
      </c>
      <c r="M213" s="8">
        <v>360</v>
      </c>
      <c r="N213" s="112">
        <f t="shared" si="63"/>
        <v>1.5433528000000001</v>
      </c>
      <c r="O213" s="5" t="s">
        <v>214</v>
      </c>
      <c r="P213" s="5" t="s">
        <v>216</v>
      </c>
      <c r="Q213" s="14" t="s">
        <v>244</v>
      </c>
      <c r="R213" s="51">
        <v>22</v>
      </c>
      <c r="S213" s="103">
        <v>18.107599</v>
      </c>
      <c r="T213" s="103">
        <f t="shared" si="62"/>
        <v>0</v>
      </c>
      <c r="U213" s="138">
        <v>1</v>
      </c>
      <c r="V213" s="112">
        <v>0.38583820000000002</v>
      </c>
    </row>
    <row r="214" spans="1:22" x14ac:dyDescent="0.25">
      <c r="A214" s="6">
        <v>200</v>
      </c>
      <c r="B214" s="6">
        <v>201</v>
      </c>
      <c r="C214" s="38">
        <f t="shared" si="64"/>
        <v>2.0734558016528924E-2</v>
      </c>
      <c r="D214" s="38">
        <f t="shared" si="65"/>
        <v>2.1992609851239669E-2</v>
      </c>
      <c r="E214" s="38">
        <f t="shared" si="66"/>
        <v>2.4798997332892564E-5</v>
      </c>
      <c r="F214" s="32">
        <f t="shared" si="49"/>
        <v>20.195712416253109</v>
      </c>
      <c r="G214" s="8">
        <v>0</v>
      </c>
      <c r="H214" s="8">
        <v>0</v>
      </c>
      <c r="I214" s="8">
        <v>1</v>
      </c>
      <c r="J214" s="8">
        <v>0</v>
      </c>
      <c r="K214" s="8">
        <v>1</v>
      </c>
      <c r="L214" s="8">
        <v>-360</v>
      </c>
      <c r="M214" s="8">
        <v>360</v>
      </c>
      <c r="N214" s="112">
        <f t="shared" si="63"/>
        <v>1.1275872</v>
      </c>
      <c r="O214" s="5" t="s">
        <v>216</v>
      </c>
      <c r="P214" s="5" t="s">
        <v>218</v>
      </c>
      <c r="Q214" s="14" t="s">
        <v>244</v>
      </c>
      <c r="R214" s="51">
        <v>22</v>
      </c>
      <c r="S214" s="103">
        <v>3.0018335</v>
      </c>
      <c r="T214" s="103">
        <f t="shared" si="62"/>
        <v>0</v>
      </c>
      <c r="U214" s="138">
        <v>1</v>
      </c>
      <c r="V214" s="112">
        <v>0.2818968</v>
      </c>
    </row>
    <row r="215" spans="1:22" x14ac:dyDescent="0.25">
      <c r="A215" s="6">
        <v>201</v>
      </c>
      <c r="B215" s="6">
        <v>202</v>
      </c>
      <c r="C215" s="38">
        <f t="shared" si="64"/>
        <v>9.4086607438016532E-3</v>
      </c>
      <c r="D215" s="38">
        <f t="shared" si="65"/>
        <v>9.9795233057851235E-3</v>
      </c>
      <c r="E215" s="38">
        <f t="shared" si="66"/>
        <v>1.1252969680165289E-5</v>
      </c>
      <c r="F215" s="32">
        <f t="shared" si="49"/>
        <v>20.195712416253109</v>
      </c>
      <c r="G215" s="8">
        <v>0</v>
      </c>
      <c r="H215" s="8">
        <v>0</v>
      </c>
      <c r="I215" s="8">
        <v>1</v>
      </c>
      <c r="J215" s="8">
        <v>0</v>
      </c>
      <c r="K215" s="8">
        <v>1</v>
      </c>
      <c r="L215" s="8">
        <v>-360</v>
      </c>
      <c r="M215" s="8">
        <v>360</v>
      </c>
      <c r="N215" s="112">
        <f t="shared" si="63"/>
        <v>0.51166199999999995</v>
      </c>
      <c r="O215" s="5" t="s">
        <v>218</v>
      </c>
      <c r="P215" s="5" t="s">
        <v>217</v>
      </c>
      <c r="Q215" s="14" t="s">
        <v>244</v>
      </c>
      <c r="R215" s="51">
        <v>22</v>
      </c>
      <c r="S215" s="103">
        <v>2.2867507E-11</v>
      </c>
      <c r="T215" s="103">
        <f t="shared" si="62"/>
        <v>0</v>
      </c>
      <c r="U215" s="138">
        <v>1</v>
      </c>
      <c r="V215" s="112">
        <v>0.12791549999999999</v>
      </c>
    </row>
    <row r="216" spans="1:22" x14ac:dyDescent="0.25">
      <c r="A216" s="6">
        <v>203</v>
      </c>
      <c r="B216" s="6">
        <v>204</v>
      </c>
      <c r="C216" s="38">
        <f t="shared" si="64"/>
        <v>5.260565661157025E-3</v>
      </c>
      <c r="D216" s="38">
        <f t="shared" si="65"/>
        <v>5.5797460495867774E-3</v>
      </c>
      <c r="E216" s="38">
        <f t="shared" si="66"/>
        <v>2.516701898280992E-5</v>
      </c>
      <c r="F216" s="32">
        <f t="shared" si="49"/>
        <v>40.391424832506218</v>
      </c>
      <c r="G216" s="8">
        <v>0</v>
      </c>
      <c r="H216" s="8">
        <v>0</v>
      </c>
      <c r="I216" s="8">
        <v>1</v>
      </c>
      <c r="J216" s="8">
        <v>0</v>
      </c>
      <c r="K216" s="8">
        <v>1</v>
      </c>
      <c r="L216" s="8">
        <v>-360</v>
      </c>
      <c r="M216" s="8">
        <v>360</v>
      </c>
      <c r="N216" s="112">
        <f t="shared" si="63"/>
        <v>0.57216040000000001</v>
      </c>
      <c r="O216" s="5" t="s">
        <v>221</v>
      </c>
      <c r="P216" s="5" t="s">
        <v>223</v>
      </c>
      <c r="Q216" s="14" t="s">
        <v>244</v>
      </c>
      <c r="R216" s="51">
        <v>22</v>
      </c>
      <c r="S216" s="103">
        <v>18.039121999999999</v>
      </c>
      <c r="T216" s="103">
        <f t="shared" si="62"/>
        <v>0</v>
      </c>
      <c r="U216" s="138">
        <v>2</v>
      </c>
      <c r="V216" s="112">
        <v>0.1430401</v>
      </c>
    </row>
    <row r="217" spans="1:22" x14ac:dyDescent="0.25">
      <c r="A217" s="6">
        <v>204</v>
      </c>
      <c r="B217" s="6">
        <v>205</v>
      </c>
      <c r="C217" s="38">
        <f t="shared" si="64"/>
        <v>7.6097721487603295E-3</v>
      </c>
      <c r="D217" s="38">
        <f t="shared" si="65"/>
        <v>8.0714886611570249E-3</v>
      </c>
      <c r="E217" s="38">
        <f t="shared" si="66"/>
        <v>3.640583398413223E-5</v>
      </c>
      <c r="F217" s="32">
        <f t="shared" si="49"/>
        <v>40.391424832506218</v>
      </c>
      <c r="G217" s="8">
        <v>0</v>
      </c>
      <c r="H217" s="8">
        <v>0</v>
      </c>
      <c r="I217" s="8">
        <v>1</v>
      </c>
      <c r="J217" s="8">
        <v>0</v>
      </c>
      <c r="K217" s="8">
        <v>1</v>
      </c>
      <c r="L217" s="8">
        <v>-360</v>
      </c>
      <c r="M217" s="8">
        <v>360</v>
      </c>
      <c r="N217" s="112">
        <f t="shared" si="63"/>
        <v>0.82766959999999989</v>
      </c>
      <c r="O217" s="5" t="s">
        <v>223</v>
      </c>
      <c r="P217" s="5" t="s">
        <v>226</v>
      </c>
      <c r="Q217" s="14" t="s">
        <v>244</v>
      </c>
      <c r="R217" s="51">
        <v>22</v>
      </c>
      <c r="S217" s="103">
        <v>12.013106000000001</v>
      </c>
      <c r="T217" s="103">
        <f t="shared" si="62"/>
        <v>0</v>
      </c>
      <c r="U217" s="138">
        <v>2</v>
      </c>
      <c r="V217" s="112">
        <v>0.20691739999999997</v>
      </c>
    </row>
    <row r="218" spans="1:22" x14ac:dyDescent="0.25">
      <c r="A218" s="65">
        <v>11</v>
      </c>
      <c r="B218" s="65">
        <v>206</v>
      </c>
      <c r="C218" s="66">
        <f>$Y$7*N218/$Z$2/U218</f>
        <v>1.3774104683195591E-4</v>
      </c>
      <c r="D218" s="66">
        <f>$Z$7*N218/$Z$2/U218</f>
        <v>2.2586470768288947E-3</v>
      </c>
      <c r="E218" s="66">
        <f>$AA$7*N218/$Z$2*U218</f>
        <v>2.1192837465564733E-5</v>
      </c>
      <c r="F218" s="67">
        <f>U218*$Z$40</f>
        <v>445.829877868229</v>
      </c>
      <c r="G218" s="68">
        <v>0</v>
      </c>
      <c r="H218" s="68">
        <v>0</v>
      </c>
      <c r="I218" s="68">
        <v>1</v>
      </c>
      <c r="J218" s="68">
        <v>0</v>
      </c>
      <c r="K218" s="68">
        <v>1</v>
      </c>
      <c r="L218" s="68">
        <v>-360</v>
      </c>
      <c r="M218" s="68">
        <v>360</v>
      </c>
      <c r="N218" s="69">
        <f t="shared" si="63"/>
        <v>2</v>
      </c>
      <c r="O218" s="5" t="s">
        <v>58</v>
      </c>
      <c r="P218" s="5" t="s">
        <v>228</v>
      </c>
      <c r="Q218" s="14" t="s">
        <v>244</v>
      </c>
      <c r="R218" s="49">
        <v>66</v>
      </c>
      <c r="S218" s="103">
        <v>362.04986000000002</v>
      </c>
      <c r="T218" s="103">
        <f t="shared" si="62"/>
        <v>0</v>
      </c>
      <c r="U218" s="138">
        <v>3</v>
      </c>
      <c r="V218" s="112">
        <v>0.5</v>
      </c>
    </row>
    <row r="219" spans="1:22" x14ac:dyDescent="0.25">
      <c r="A219" s="65">
        <v>151</v>
      </c>
      <c r="B219" s="65">
        <v>207</v>
      </c>
      <c r="C219" s="66">
        <f t="shared" si="64"/>
        <v>2.5296870867768592E-2</v>
      </c>
      <c r="D219" s="66">
        <f t="shared" si="65"/>
        <v>2.6831737190082645E-2</v>
      </c>
      <c r="E219" s="66">
        <f t="shared" si="66"/>
        <v>1.2102250410743801E-4</v>
      </c>
      <c r="F219" s="67">
        <f>U219*$Z$20</f>
        <v>40.391424832506218</v>
      </c>
      <c r="G219" s="68">
        <v>0</v>
      </c>
      <c r="H219" s="68">
        <v>0</v>
      </c>
      <c r="I219" s="68">
        <v>1</v>
      </c>
      <c r="J219" s="68">
        <v>0</v>
      </c>
      <c r="K219" s="68">
        <v>1</v>
      </c>
      <c r="L219" s="68">
        <v>-360</v>
      </c>
      <c r="M219" s="68">
        <v>360</v>
      </c>
      <c r="N219" s="69">
        <f t="shared" si="63"/>
        <v>2.7513899999999998</v>
      </c>
      <c r="O219" s="5" t="s">
        <v>193</v>
      </c>
      <c r="P219" s="5" t="s">
        <v>227</v>
      </c>
      <c r="Q219" s="14" t="s">
        <v>244</v>
      </c>
      <c r="R219" s="51">
        <v>22</v>
      </c>
      <c r="S219" s="103">
        <v>7.3762926E-9</v>
      </c>
      <c r="T219" s="103">
        <f t="shared" si="62"/>
        <v>0</v>
      </c>
      <c r="U219" s="138">
        <v>2</v>
      </c>
      <c r="V219" s="112">
        <v>0.68784749999999995</v>
      </c>
    </row>
    <row r="220" spans="1:22" x14ac:dyDescent="0.25">
      <c r="A220" s="65">
        <v>195</v>
      </c>
      <c r="B220" s="65">
        <v>136</v>
      </c>
      <c r="C220" s="66">
        <f t="shared" si="64"/>
        <v>3.6776859504132231E-2</v>
      </c>
      <c r="D220" s="66">
        <f t="shared" si="65"/>
        <v>3.9008264462809916E-2</v>
      </c>
      <c r="E220" s="66">
        <f t="shared" si="66"/>
        <v>4.3985950413223145E-5</v>
      </c>
      <c r="F220" s="67">
        <f>U220*$Z$20</f>
        <v>20.195712416253109</v>
      </c>
      <c r="G220" s="68">
        <v>0</v>
      </c>
      <c r="H220" s="68">
        <v>0</v>
      </c>
      <c r="I220" s="68">
        <v>1</v>
      </c>
      <c r="J220" s="68">
        <v>0</v>
      </c>
      <c r="K220" s="68">
        <v>1</v>
      </c>
      <c r="L220" s="68">
        <v>-360</v>
      </c>
      <c r="M220" s="68">
        <v>360</v>
      </c>
      <c r="N220" s="69">
        <f t="shared" si="63"/>
        <v>2</v>
      </c>
      <c r="O220" s="5" t="s">
        <v>147</v>
      </c>
      <c r="P220" s="5" t="s">
        <v>130</v>
      </c>
      <c r="Q220" s="14" t="s">
        <v>244</v>
      </c>
      <c r="R220" s="51">
        <v>22</v>
      </c>
      <c r="S220" s="103">
        <v>17.672529999999998</v>
      </c>
      <c r="T220" s="103">
        <f t="shared" si="62"/>
        <v>0</v>
      </c>
      <c r="U220" s="138">
        <v>1</v>
      </c>
      <c r="V220" s="112">
        <v>0.5</v>
      </c>
    </row>
    <row r="221" spans="1:22" x14ac:dyDescent="0.25">
      <c r="T221" s="45">
        <f>SUM(T2:T220)</f>
        <v>3</v>
      </c>
    </row>
  </sheetData>
  <sortState ref="A2:P224">
    <sortCondition ref="A1"/>
  </sortState>
  <pageMargins left="0.7" right="0.7" top="0.75" bottom="0.75" header="0.3" footer="0.3"/>
  <pageSetup paperSize="9" orientation="portrait" r:id="rId1"/>
  <ignoredErrors>
    <ignoredError sqref="C3:D3 F3 C7:D7 C10:D10 E73 F48 F26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16"/>
  <sheetViews>
    <sheetView zoomScale="130" zoomScaleNormal="130" workbookViewId="0">
      <selection activeCell="G17" sqref="G17"/>
    </sheetView>
  </sheetViews>
  <sheetFormatPr defaultRowHeight="15" x14ac:dyDescent="0.25"/>
  <cols>
    <col min="1" max="6" width="9.140625" style="2"/>
    <col min="7" max="7" width="15.140625" style="2" customWidth="1"/>
    <col min="8" max="21" width="9.140625" style="2"/>
    <col min="22" max="22" width="37" style="2" customWidth="1"/>
  </cols>
  <sheetData>
    <row r="1" spans="1:22" x14ac:dyDescent="0.25">
      <c r="A1" s="95" t="s">
        <v>0</v>
      </c>
      <c r="B1" s="95" t="s">
        <v>1</v>
      </c>
      <c r="C1" s="95" t="s">
        <v>2</v>
      </c>
      <c r="D1" s="95" t="s">
        <v>3</v>
      </c>
      <c r="E1" s="95" t="s">
        <v>4</v>
      </c>
      <c r="F1" s="95" t="s">
        <v>5</v>
      </c>
      <c r="G1" s="95" t="s">
        <v>6</v>
      </c>
      <c r="H1" s="95" t="s">
        <v>7</v>
      </c>
      <c r="I1" s="95" t="s">
        <v>8</v>
      </c>
      <c r="J1" s="95" t="s">
        <v>9</v>
      </c>
      <c r="K1" s="95" t="s">
        <v>10</v>
      </c>
      <c r="L1" s="95" t="s">
        <v>11</v>
      </c>
      <c r="M1" s="95" t="s">
        <v>12</v>
      </c>
      <c r="N1" s="95" t="s">
        <v>13</v>
      </c>
      <c r="O1" s="95" t="s">
        <v>14</v>
      </c>
      <c r="P1" s="95" t="s">
        <v>15</v>
      </c>
      <c r="Q1" s="95" t="s">
        <v>16</v>
      </c>
      <c r="R1" s="95" t="s">
        <v>17</v>
      </c>
      <c r="S1" s="95" t="s">
        <v>18</v>
      </c>
      <c r="T1" s="95" t="s">
        <v>19</v>
      </c>
      <c r="U1" s="95" t="s">
        <v>20</v>
      </c>
    </row>
    <row r="2" spans="1:22" x14ac:dyDescent="0.25">
      <c r="A2" s="96">
        <v>1</v>
      </c>
      <c r="B2" s="96">
        <v>0</v>
      </c>
      <c r="C2" s="96">
        <v>0</v>
      </c>
      <c r="D2" s="96">
        <v>400</v>
      </c>
      <c r="E2" s="96">
        <v>-400</v>
      </c>
      <c r="F2" s="96">
        <v>1</v>
      </c>
      <c r="G2" s="96">
        <v>100</v>
      </c>
      <c r="H2" s="96">
        <v>1</v>
      </c>
      <c r="I2" s="96">
        <v>400</v>
      </c>
      <c r="J2" s="96">
        <v>0</v>
      </c>
      <c r="K2" s="96">
        <v>0</v>
      </c>
      <c r="L2" s="96">
        <v>0</v>
      </c>
      <c r="M2" s="96">
        <v>0</v>
      </c>
      <c r="N2" s="96">
        <v>0</v>
      </c>
      <c r="O2" s="96">
        <v>0</v>
      </c>
      <c r="P2" s="96">
        <v>0</v>
      </c>
      <c r="Q2" s="96">
        <v>0</v>
      </c>
      <c r="R2" s="96">
        <v>0</v>
      </c>
      <c r="S2" s="96">
        <v>0</v>
      </c>
      <c r="T2" s="96">
        <v>0</v>
      </c>
      <c r="U2" s="96">
        <v>0</v>
      </c>
      <c r="V2" s="94" t="s">
        <v>964</v>
      </c>
    </row>
    <row r="3" spans="1:22" x14ac:dyDescent="0.25">
      <c r="A3" s="97">
        <v>2</v>
      </c>
      <c r="B3" s="97">
        <v>400</v>
      </c>
      <c r="C3" s="97">
        <v>0</v>
      </c>
      <c r="D3" s="97">
        <v>400</v>
      </c>
      <c r="E3" s="97">
        <v>-400</v>
      </c>
      <c r="F3" s="97">
        <v>1</v>
      </c>
      <c r="G3" s="97">
        <v>100</v>
      </c>
      <c r="H3" s="97">
        <v>1</v>
      </c>
      <c r="I3" s="97">
        <v>400</v>
      </c>
      <c r="J3" s="97">
        <v>80</v>
      </c>
      <c r="K3" s="97">
        <v>0</v>
      </c>
      <c r="L3" s="97">
        <v>0</v>
      </c>
      <c r="M3" s="97">
        <v>0</v>
      </c>
      <c r="N3" s="97">
        <v>0</v>
      </c>
      <c r="O3" s="97">
        <v>0</v>
      </c>
      <c r="P3" s="97">
        <v>0</v>
      </c>
      <c r="Q3" s="97">
        <v>0</v>
      </c>
      <c r="R3" s="97">
        <v>0</v>
      </c>
      <c r="S3" s="97">
        <v>0</v>
      </c>
      <c r="T3" s="97">
        <v>0</v>
      </c>
      <c r="U3" s="97">
        <v>0</v>
      </c>
      <c r="V3" s="73" t="s">
        <v>917</v>
      </c>
    </row>
    <row r="4" spans="1:22" x14ac:dyDescent="0.25">
      <c r="A4" s="97">
        <v>2</v>
      </c>
      <c r="B4" s="97">
        <v>400</v>
      </c>
      <c r="C4" s="97">
        <v>0</v>
      </c>
      <c r="D4" s="97">
        <v>400</v>
      </c>
      <c r="E4" s="97">
        <v>-400</v>
      </c>
      <c r="F4" s="97">
        <v>1</v>
      </c>
      <c r="G4" s="97">
        <v>100</v>
      </c>
      <c r="H4" s="97">
        <v>1</v>
      </c>
      <c r="I4" s="97">
        <v>400</v>
      </c>
      <c r="J4" s="97">
        <v>80</v>
      </c>
      <c r="K4" s="97">
        <v>0</v>
      </c>
      <c r="L4" s="97">
        <v>0</v>
      </c>
      <c r="M4" s="97">
        <v>0</v>
      </c>
      <c r="N4" s="97">
        <v>0</v>
      </c>
      <c r="O4" s="97">
        <v>0</v>
      </c>
      <c r="P4" s="97">
        <v>0</v>
      </c>
      <c r="Q4" s="97">
        <v>0</v>
      </c>
      <c r="R4" s="97">
        <v>0</v>
      </c>
      <c r="S4" s="97">
        <v>0</v>
      </c>
      <c r="T4" s="97">
        <v>0</v>
      </c>
      <c r="U4" s="97">
        <v>0</v>
      </c>
      <c r="V4" s="73" t="s">
        <v>918</v>
      </c>
    </row>
    <row r="5" spans="1:22" x14ac:dyDescent="0.25">
      <c r="A5" s="97">
        <v>2</v>
      </c>
      <c r="B5" s="97">
        <v>0</v>
      </c>
      <c r="C5" s="97">
        <v>0</v>
      </c>
      <c r="D5" s="97">
        <v>400</v>
      </c>
      <c r="E5" s="97">
        <v>-400</v>
      </c>
      <c r="F5" s="97">
        <v>1</v>
      </c>
      <c r="G5" s="97">
        <v>100</v>
      </c>
      <c r="H5" s="97">
        <v>1</v>
      </c>
      <c r="I5" s="97">
        <v>250</v>
      </c>
      <c r="J5" s="97">
        <v>25</v>
      </c>
      <c r="K5" s="97">
        <v>0</v>
      </c>
      <c r="L5" s="97">
        <v>0</v>
      </c>
      <c r="M5" s="97">
        <v>0</v>
      </c>
      <c r="N5" s="97">
        <v>0</v>
      </c>
      <c r="O5" s="97">
        <v>0</v>
      </c>
      <c r="P5" s="97">
        <v>0</v>
      </c>
      <c r="Q5" s="97">
        <v>0</v>
      </c>
      <c r="R5" s="97">
        <v>0</v>
      </c>
      <c r="S5" s="97">
        <v>0</v>
      </c>
      <c r="T5" s="97">
        <v>0</v>
      </c>
      <c r="U5" s="97">
        <v>0</v>
      </c>
      <c r="V5" s="73" t="s">
        <v>919</v>
      </c>
    </row>
    <row r="6" spans="1:22" x14ac:dyDescent="0.25">
      <c r="A6" s="73">
        <v>2</v>
      </c>
      <c r="B6" s="73">
        <v>0</v>
      </c>
      <c r="C6" s="73">
        <v>0</v>
      </c>
      <c r="D6" s="73">
        <v>400</v>
      </c>
      <c r="E6" s="73">
        <v>-400</v>
      </c>
      <c r="F6" s="73">
        <v>1</v>
      </c>
      <c r="G6" s="73">
        <v>100</v>
      </c>
      <c r="H6" s="73">
        <v>1</v>
      </c>
      <c r="I6" s="73">
        <v>250</v>
      </c>
      <c r="J6" s="73">
        <v>25</v>
      </c>
      <c r="K6" s="73">
        <v>0</v>
      </c>
      <c r="L6" s="73">
        <v>0</v>
      </c>
      <c r="M6" s="73">
        <v>0</v>
      </c>
      <c r="N6" s="73">
        <v>0</v>
      </c>
      <c r="O6" s="73">
        <v>0</v>
      </c>
      <c r="P6" s="73">
        <v>0</v>
      </c>
      <c r="Q6" s="73">
        <v>0</v>
      </c>
      <c r="R6" s="73">
        <v>0</v>
      </c>
      <c r="S6" s="73">
        <v>0</v>
      </c>
      <c r="T6" s="73">
        <v>0</v>
      </c>
      <c r="U6" s="73">
        <v>0</v>
      </c>
      <c r="V6" s="73" t="s">
        <v>920</v>
      </c>
    </row>
    <row r="7" spans="1:22" x14ac:dyDescent="0.25">
      <c r="A7" s="5">
        <v>3</v>
      </c>
      <c r="B7" s="5">
        <v>400</v>
      </c>
      <c r="C7" s="5">
        <v>0</v>
      </c>
      <c r="D7" s="5">
        <v>400</v>
      </c>
      <c r="E7" s="5">
        <v>-400</v>
      </c>
      <c r="F7" s="5">
        <v>1</v>
      </c>
      <c r="G7" s="5">
        <v>100</v>
      </c>
      <c r="H7" s="5">
        <v>1</v>
      </c>
      <c r="I7" s="5">
        <v>400</v>
      </c>
      <c r="J7" s="5">
        <v>120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 t="s">
        <v>921</v>
      </c>
    </row>
    <row r="8" spans="1:22" x14ac:dyDescent="0.25">
      <c r="A8" s="5">
        <v>3</v>
      </c>
      <c r="B8" s="5">
        <v>400</v>
      </c>
      <c r="C8" s="5">
        <v>0</v>
      </c>
      <c r="D8" s="5">
        <v>400</v>
      </c>
      <c r="E8" s="5">
        <v>-400</v>
      </c>
      <c r="F8" s="5">
        <v>1</v>
      </c>
      <c r="G8" s="5">
        <v>100</v>
      </c>
      <c r="H8" s="5">
        <v>1</v>
      </c>
      <c r="I8" s="5">
        <v>400</v>
      </c>
      <c r="J8" s="5">
        <v>120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 t="s">
        <v>922</v>
      </c>
    </row>
    <row r="9" spans="1:22" x14ac:dyDescent="0.25">
      <c r="A9" s="77">
        <v>4</v>
      </c>
      <c r="B9" s="77">
        <v>400</v>
      </c>
      <c r="C9" s="77">
        <v>0</v>
      </c>
      <c r="D9" s="77">
        <v>400</v>
      </c>
      <c r="E9" s="77">
        <v>-400</v>
      </c>
      <c r="F9" s="77">
        <v>1</v>
      </c>
      <c r="G9" s="77">
        <v>100</v>
      </c>
      <c r="H9" s="77">
        <v>1</v>
      </c>
      <c r="I9" s="77">
        <v>400</v>
      </c>
      <c r="J9" s="77">
        <v>80</v>
      </c>
      <c r="K9" s="77">
        <v>0</v>
      </c>
      <c r="L9" s="77">
        <v>0</v>
      </c>
      <c r="M9" s="77">
        <v>0</v>
      </c>
      <c r="N9" s="77">
        <v>0</v>
      </c>
      <c r="O9" s="77">
        <v>0</v>
      </c>
      <c r="P9" s="77">
        <v>0</v>
      </c>
      <c r="Q9" s="77">
        <v>0</v>
      </c>
      <c r="R9" s="77">
        <v>0</v>
      </c>
      <c r="S9" s="77">
        <v>0</v>
      </c>
      <c r="T9" s="77">
        <v>0</v>
      </c>
      <c r="U9" s="77">
        <v>0</v>
      </c>
      <c r="V9" s="77" t="s">
        <v>923</v>
      </c>
    </row>
    <row r="10" spans="1:22" x14ac:dyDescent="0.25">
      <c r="A10" s="77">
        <v>4</v>
      </c>
      <c r="B10" s="77">
        <v>200</v>
      </c>
      <c r="C10" s="77">
        <v>0</v>
      </c>
      <c r="D10" s="77">
        <v>400</v>
      </c>
      <c r="E10" s="77">
        <v>-400</v>
      </c>
      <c r="F10" s="77">
        <v>1</v>
      </c>
      <c r="G10" s="77">
        <v>100</v>
      </c>
      <c r="H10" s="77">
        <v>1</v>
      </c>
      <c r="I10" s="77">
        <v>408</v>
      </c>
      <c r="J10" s="77">
        <v>143</v>
      </c>
      <c r="K10" s="77">
        <v>0</v>
      </c>
      <c r="L10" s="77">
        <v>0</v>
      </c>
      <c r="M10" s="77">
        <v>0</v>
      </c>
      <c r="N10" s="77">
        <v>0</v>
      </c>
      <c r="O10" s="77">
        <v>0</v>
      </c>
      <c r="P10" s="77">
        <v>0</v>
      </c>
      <c r="Q10" s="77">
        <v>0</v>
      </c>
      <c r="R10" s="77">
        <v>0</v>
      </c>
      <c r="S10" s="77">
        <v>0</v>
      </c>
      <c r="T10" s="77">
        <v>0</v>
      </c>
      <c r="U10" s="77">
        <v>0</v>
      </c>
      <c r="V10" s="77" t="s">
        <v>924</v>
      </c>
    </row>
    <row r="11" spans="1:22" x14ac:dyDescent="0.25">
      <c r="A11" s="77">
        <v>4</v>
      </c>
      <c r="B11" s="77">
        <v>200</v>
      </c>
      <c r="C11" s="77">
        <v>0</v>
      </c>
      <c r="D11" s="77">
        <v>400</v>
      </c>
      <c r="E11" s="77">
        <v>-400</v>
      </c>
      <c r="F11" s="77">
        <v>1</v>
      </c>
      <c r="G11" s="77">
        <v>100</v>
      </c>
      <c r="H11" s="77">
        <v>1</v>
      </c>
      <c r="I11" s="77">
        <v>408</v>
      </c>
      <c r="J11" s="77">
        <v>143</v>
      </c>
      <c r="K11" s="77">
        <v>0</v>
      </c>
      <c r="L11" s="77">
        <v>0</v>
      </c>
      <c r="M11" s="77">
        <v>0</v>
      </c>
      <c r="N11" s="77">
        <v>0</v>
      </c>
      <c r="O11" s="77">
        <v>0</v>
      </c>
      <c r="P11" s="77">
        <v>0</v>
      </c>
      <c r="Q11" s="77">
        <v>0</v>
      </c>
      <c r="R11" s="77">
        <v>0</v>
      </c>
      <c r="S11" s="77">
        <v>0</v>
      </c>
      <c r="T11" s="77">
        <v>0</v>
      </c>
      <c r="U11" s="77">
        <v>0</v>
      </c>
      <c r="V11" s="77" t="s">
        <v>925</v>
      </c>
    </row>
    <row r="12" spans="1:22" x14ac:dyDescent="0.25">
      <c r="A12" s="14">
        <v>5</v>
      </c>
      <c r="B12" s="14">
        <v>400</v>
      </c>
      <c r="C12" s="14">
        <v>0</v>
      </c>
      <c r="D12" s="14">
        <v>400</v>
      </c>
      <c r="E12" s="14">
        <v>-400</v>
      </c>
      <c r="F12" s="14">
        <v>1</v>
      </c>
      <c r="G12" s="14">
        <v>100</v>
      </c>
      <c r="H12" s="14">
        <v>1</v>
      </c>
      <c r="I12" s="14">
        <v>400</v>
      </c>
      <c r="J12" s="14">
        <v>120</v>
      </c>
      <c r="K12" s="14">
        <v>0</v>
      </c>
      <c r="L12" s="14">
        <v>0</v>
      </c>
      <c r="M12" s="14">
        <v>0</v>
      </c>
      <c r="N12" s="14">
        <v>0</v>
      </c>
      <c r="O12" s="14">
        <v>0</v>
      </c>
      <c r="P12" s="14">
        <v>0</v>
      </c>
      <c r="Q12" s="14">
        <v>0</v>
      </c>
      <c r="R12" s="14">
        <v>0</v>
      </c>
      <c r="S12" s="14">
        <v>0</v>
      </c>
      <c r="T12" s="14">
        <v>0</v>
      </c>
      <c r="U12" s="14">
        <v>0</v>
      </c>
      <c r="V12" s="14" t="s">
        <v>46</v>
      </c>
    </row>
    <row r="13" spans="1:22" x14ac:dyDescent="0.25">
      <c r="A13" s="14">
        <v>5</v>
      </c>
      <c r="B13" s="14">
        <v>400</v>
      </c>
      <c r="C13" s="14">
        <v>0</v>
      </c>
      <c r="D13" s="14">
        <v>400</v>
      </c>
      <c r="E13" s="14">
        <v>-400</v>
      </c>
      <c r="F13" s="14">
        <v>1</v>
      </c>
      <c r="G13" s="14">
        <v>100</v>
      </c>
      <c r="H13" s="14">
        <v>1</v>
      </c>
      <c r="I13" s="14">
        <v>400</v>
      </c>
      <c r="J13" s="14">
        <v>120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  <c r="T13" s="14">
        <v>0</v>
      </c>
      <c r="U13" s="14">
        <v>0</v>
      </c>
      <c r="V13" s="14" t="s">
        <v>908</v>
      </c>
    </row>
    <row r="14" spans="1:22" x14ac:dyDescent="0.25">
      <c r="A14" s="14">
        <v>5</v>
      </c>
      <c r="B14" s="14">
        <v>250</v>
      </c>
      <c r="C14" s="14">
        <v>0</v>
      </c>
      <c r="D14" s="14">
        <v>400</v>
      </c>
      <c r="E14" s="14">
        <v>-400</v>
      </c>
      <c r="F14" s="14">
        <v>1</v>
      </c>
      <c r="G14" s="14">
        <v>100</v>
      </c>
      <c r="H14" s="14">
        <v>1</v>
      </c>
      <c r="I14" s="14">
        <v>407</v>
      </c>
      <c r="J14" s="14">
        <v>122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  <c r="T14" s="14">
        <v>0</v>
      </c>
      <c r="U14" s="14">
        <v>0</v>
      </c>
      <c r="V14" s="14" t="s">
        <v>909</v>
      </c>
    </row>
    <row r="15" spans="1:22" x14ac:dyDescent="0.25">
      <c r="A15" s="14">
        <v>5</v>
      </c>
      <c r="B15" s="14">
        <v>0</v>
      </c>
      <c r="C15" s="14">
        <v>0</v>
      </c>
      <c r="D15" s="14">
        <v>400</v>
      </c>
      <c r="E15" s="14">
        <v>-400</v>
      </c>
      <c r="F15" s="14">
        <v>1</v>
      </c>
      <c r="G15" s="14">
        <v>100</v>
      </c>
      <c r="H15" s="14">
        <v>1</v>
      </c>
      <c r="I15" s="14">
        <v>407</v>
      </c>
      <c r="J15" s="14">
        <v>122</v>
      </c>
      <c r="K15" s="14">
        <v>0</v>
      </c>
      <c r="L15" s="14">
        <v>0</v>
      </c>
      <c r="M15" s="14">
        <v>0</v>
      </c>
      <c r="N15" s="14">
        <v>0</v>
      </c>
      <c r="O15" s="14">
        <v>0</v>
      </c>
      <c r="P15" s="14">
        <v>0</v>
      </c>
      <c r="Q15" s="14">
        <v>0</v>
      </c>
      <c r="R15" s="14">
        <v>0</v>
      </c>
      <c r="S15" s="14">
        <v>0</v>
      </c>
      <c r="T15" s="14">
        <v>0</v>
      </c>
      <c r="U15" s="14">
        <v>0</v>
      </c>
      <c r="V15" s="14" t="s">
        <v>910</v>
      </c>
    </row>
    <row r="16" spans="1:22" x14ac:dyDescent="0.25">
      <c r="B16" s="98">
        <f>SUM(B2:B15)</f>
        <v>3450</v>
      </c>
      <c r="C16" s="98">
        <f>SUM(C2:C15)</f>
        <v>0</v>
      </c>
      <c r="I16" s="98">
        <f>SUM(I3:I15)</f>
        <v>4930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216"/>
  <sheetViews>
    <sheetView zoomScale="85" zoomScaleNormal="85" workbookViewId="0">
      <selection activeCell="X63" sqref="A63:X63"/>
    </sheetView>
  </sheetViews>
  <sheetFormatPr defaultRowHeight="15" x14ac:dyDescent="0.25"/>
  <cols>
    <col min="1" max="1" width="9.140625" style="2"/>
    <col min="2" max="2" width="13" style="56" customWidth="1"/>
    <col min="3" max="3" width="13.28515625" style="56" customWidth="1"/>
    <col min="4" max="4" width="12.85546875" style="56" bestFit="1" customWidth="1"/>
    <col min="5" max="5" width="12.5703125" style="56" customWidth="1"/>
    <col min="6" max="6" width="14.42578125" customWidth="1"/>
    <col min="11" max="11" width="51.7109375" bestFit="1" customWidth="1"/>
    <col min="14" max="14" width="13" customWidth="1"/>
  </cols>
  <sheetData>
    <row r="1" spans="1:24" x14ac:dyDescent="0.25">
      <c r="A1" s="53" t="s">
        <v>0</v>
      </c>
      <c r="B1" s="53" t="s">
        <v>36</v>
      </c>
      <c r="C1" s="61" t="s">
        <v>297</v>
      </c>
      <c r="D1" s="53" t="s">
        <v>296</v>
      </c>
      <c r="E1" s="53" t="s">
        <v>295</v>
      </c>
      <c r="F1" s="53" t="s">
        <v>906</v>
      </c>
      <c r="G1" s="53" t="s">
        <v>907</v>
      </c>
      <c r="H1" t="s">
        <v>298</v>
      </c>
      <c r="I1" t="s">
        <v>299</v>
      </c>
      <c r="J1" t="s">
        <v>300</v>
      </c>
      <c r="K1" t="s">
        <v>301</v>
      </c>
      <c r="L1" t="s">
        <v>302</v>
      </c>
      <c r="M1" t="s">
        <v>303</v>
      </c>
      <c r="N1" t="s">
        <v>296</v>
      </c>
      <c r="O1" t="s">
        <v>295</v>
      </c>
      <c r="Q1" t="s">
        <v>298</v>
      </c>
      <c r="R1" t="s">
        <v>299</v>
      </c>
      <c r="S1" t="s">
        <v>300</v>
      </c>
      <c r="T1" t="s">
        <v>301</v>
      </c>
      <c r="U1" t="s">
        <v>302</v>
      </c>
      <c r="V1" t="s">
        <v>303</v>
      </c>
      <c r="W1" t="s">
        <v>296</v>
      </c>
      <c r="X1" t="s">
        <v>295</v>
      </c>
    </row>
    <row r="2" spans="1:24" x14ac:dyDescent="0.25">
      <c r="A2" s="3">
        <v>1</v>
      </c>
      <c r="B2" s="12">
        <v>11545121.1340605</v>
      </c>
      <c r="C2" s="62">
        <v>144312.42423912699</v>
      </c>
      <c r="D2" s="12" t="s">
        <v>878</v>
      </c>
      <c r="E2" s="12" t="s">
        <v>879</v>
      </c>
      <c r="F2" s="12">
        <f>103+MID(D2,6,6)/60</f>
        <v>103.71158333333334</v>
      </c>
      <c r="G2" s="12">
        <f>1+MID(E2,4,6)/60</f>
        <v>1.2962666666666667</v>
      </c>
      <c r="H2">
        <v>0</v>
      </c>
      <c r="I2" t="s">
        <v>304</v>
      </c>
      <c r="J2" t="s">
        <v>194</v>
      </c>
      <c r="K2" t="s">
        <v>305</v>
      </c>
      <c r="L2" t="s">
        <v>306</v>
      </c>
      <c r="M2">
        <v>625</v>
      </c>
      <c r="N2">
        <v>11545907.2519</v>
      </c>
      <c r="O2">
        <v>143642.22239999799</v>
      </c>
      <c r="Q2">
        <v>0</v>
      </c>
      <c r="R2" t="s">
        <v>304</v>
      </c>
      <c r="S2" t="s">
        <v>194</v>
      </c>
      <c r="T2" t="s">
        <v>305</v>
      </c>
      <c r="U2" t="s">
        <v>306</v>
      </c>
      <c r="V2">
        <v>625</v>
      </c>
      <c r="W2" t="s">
        <v>307</v>
      </c>
      <c r="X2" t="s">
        <v>308</v>
      </c>
    </row>
    <row r="3" spans="1:24" x14ac:dyDescent="0.25">
      <c r="A3" s="3">
        <v>2</v>
      </c>
      <c r="B3" s="12">
        <v>11546715.097580601</v>
      </c>
      <c r="C3" s="62">
        <v>142586.47921935099</v>
      </c>
      <c r="D3" s="12" t="s">
        <v>868</v>
      </c>
      <c r="E3" s="12" t="s">
        <v>869</v>
      </c>
      <c r="F3" s="12">
        <f t="shared" ref="F3:F66" si="0">103+MID(D3,6,6)/60</f>
        <v>103.7259</v>
      </c>
      <c r="G3" s="12">
        <f t="shared" ref="G3:G66" si="1">1+MID(E3,4,6)/60</f>
        <v>1.2807666666666666</v>
      </c>
      <c r="H3">
        <v>1</v>
      </c>
      <c r="I3" t="s">
        <v>304</v>
      </c>
      <c r="J3" t="s">
        <v>309</v>
      </c>
      <c r="K3" t="s">
        <v>310</v>
      </c>
      <c r="L3" t="s">
        <v>311</v>
      </c>
      <c r="M3">
        <v>520</v>
      </c>
      <c r="N3">
        <v>11546032.929300001</v>
      </c>
      <c r="O3">
        <v>143566.154599998</v>
      </c>
      <c r="Q3">
        <v>1</v>
      </c>
      <c r="R3" t="s">
        <v>304</v>
      </c>
      <c r="S3" t="s">
        <v>309</v>
      </c>
      <c r="T3" t="s">
        <v>310</v>
      </c>
      <c r="U3" t="s">
        <v>311</v>
      </c>
      <c r="V3">
        <v>520</v>
      </c>
      <c r="W3" t="s">
        <v>312</v>
      </c>
      <c r="X3" t="s">
        <v>313</v>
      </c>
    </row>
    <row r="4" spans="1:24" x14ac:dyDescent="0.25">
      <c r="A4" s="3">
        <v>3</v>
      </c>
      <c r="B4" s="12">
        <v>11546855.327016</v>
      </c>
      <c r="C4" s="62">
        <v>142443.603946605</v>
      </c>
      <c r="D4" s="12" t="s">
        <v>870</v>
      </c>
      <c r="E4" s="12" t="s">
        <v>871</v>
      </c>
      <c r="F4" s="12">
        <f t="shared" si="0"/>
        <v>103.72716666666666</v>
      </c>
      <c r="G4" s="12">
        <f t="shared" si="1"/>
        <v>1.2794833333333333</v>
      </c>
      <c r="H4">
        <v>2</v>
      </c>
      <c r="I4" t="s">
        <v>304</v>
      </c>
      <c r="J4" t="s">
        <v>314</v>
      </c>
      <c r="K4" t="s">
        <v>310</v>
      </c>
      <c r="L4" t="s">
        <v>311</v>
      </c>
      <c r="M4">
        <v>391</v>
      </c>
      <c r="N4">
        <v>11546115.6117</v>
      </c>
      <c r="O4">
        <v>143457.013700001</v>
      </c>
      <c r="Q4">
        <v>2</v>
      </c>
      <c r="R4" t="s">
        <v>304</v>
      </c>
      <c r="S4" t="s">
        <v>314</v>
      </c>
      <c r="T4" t="s">
        <v>310</v>
      </c>
      <c r="U4" t="s">
        <v>311</v>
      </c>
      <c r="V4">
        <v>391</v>
      </c>
      <c r="W4" t="s">
        <v>315</v>
      </c>
      <c r="X4" t="s">
        <v>316</v>
      </c>
    </row>
    <row r="5" spans="1:24" x14ac:dyDescent="0.25">
      <c r="A5" s="3">
        <v>4</v>
      </c>
      <c r="B5" s="12">
        <v>11547001.5096025</v>
      </c>
      <c r="C5" s="62">
        <v>142298.74428368799</v>
      </c>
      <c r="D5" s="12" t="s">
        <v>872</v>
      </c>
      <c r="E5" s="12" t="s">
        <v>873</v>
      </c>
      <c r="F5" s="12">
        <f t="shared" si="0"/>
        <v>103.72848333333333</v>
      </c>
      <c r="G5" s="12">
        <f t="shared" si="1"/>
        <v>1.2781833333333332</v>
      </c>
      <c r="H5">
        <v>3</v>
      </c>
      <c r="I5" t="s">
        <v>304</v>
      </c>
      <c r="J5" t="s">
        <v>317</v>
      </c>
      <c r="K5" t="s">
        <v>310</v>
      </c>
      <c r="L5" t="s">
        <v>311</v>
      </c>
      <c r="M5">
        <v>292</v>
      </c>
      <c r="N5">
        <v>11546155.2993</v>
      </c>
      <c r="O5">
        <v>143361.10209999999</v>
      </c>
      <c r="Q5">
        <v>3</v>
      </c>
      <c r="R5" t="s">
        <v>304</v>
      </c>
      <c r="S5" t="s">
        <v>317</v>
      </c>
      <c r="T5" t="s">
        <v>310</v>
      </c>
      <c r="U5" t="s">
        <v>311</v>
      </c>
      <c r="V5">
        <v>292</v>
      </c>
      <c r="W5" t="s">
        <v>318</v>
      </c>
      <c r="X5" t="s">
        <v>319</v>
      </c>
    </row>
    <row r="6" spans="1:24" x14ac:dyDescent="0.25">
      <c r="A6" s="3">
        <v>5</v>
      </c>
      <c r="B6" s="12">
        <v>11544142.6187</v>
      </c>
      <c r="C6" s="62">
        <v>139622.53215000001</v>
      </c>
      <c r="D6" s="12" t="s">
        <v>874</v>
      </c>
      <c r="E6" s="12" t="s">
        <v>875</v>
      </c>
      <c r="F6" s="12">
        <f t="shared" si="0"/>
        <v>103.7028</v>
      </c>
      <c r="G6" s="12">
        <f t="shared" si="1"/>
        <v>1.2541500000000001</v>
      </c>
      <c r="H6">
        <v>4</v>
      </c>
      <c r="I6" t="s">
        <v>304</v>
      </c>
      <c r="J6" t="s">
        <v>320</v>
      </c>
      <c r="K6" t="s">
        <v>145</v>
      </c>
      <c r="L6" t="s">
        <v>311</v>
      </c>
      <c r="M6">
        <v>159</v>
      </c>
      <c r="N6">
        <v>11546155.2993</v>
      </c>
      <c r="O6">
        <v>143235.42469999901</v>
      </c>
      <c r="Q6">
        <v>4</v>
      </c>
      <c r="R6" t="s">
        <v>304</v>
      </c>
      <c r="S6" t="s">
        <v>320</v>
      </c>
      <c r="T6" t="s">
        <v>145</v>
      </c>
      <c r="U6" t="s">
        <v>311</v>
      </c>
      <c r="V6">
        <v>159</v>
      </c>
      <c r="W6" t="s">
        <v>318</v>
      </c>
      <c r="X6" t="s">
        <v>321</v>
      </c>
    </row>
    <row r="7" spans="1:24" x14ac:dyDescent="0.25">
      <c r="A7" s="3">
        <v>6</v>
      </c>
      <c r="B7" s="12">
        <v>11540941.35235</v>
      </c>
      <c r="C7" s="62">
        <v>142726.39460000099</v>
      </c>
      <c r="D7" s="12" t="s">
        <v>876</v>
      </c>
      <c r="E7" s="12" t="s">
        <v>877</v>
      </c>
      <c r="F7" s="12">
        <f t="shared" si="0"/>
        <v>103.67403333333333</v>
      </c>
      <c r="G7" s="12">
        <f t="shared" si="1"/>
        <v>1.2820333333333334</v>
      </c>
      <c r="H7">
        <v>5</v>
      </c>
      <c r="I7" t="s">
        <v>304</v>
      </c>
      <c r="J7" t="s">
        <v>322</v>
      </c>
      <c r="K7" t="s">
        <v>127</v>
      </c>
      <c r="L7" t="s">
        <v>311</v>
      </c>
      <c r="M7">
        <v>325</v>
      </c>
      <c r="N7">
        <v>11546092.4606</v>
      </c>
      <c r="O7">
        <v>142855.08540000001</v>
      </c>
      <c r="Q7">
        <v>5</v>
      </c>
      <c r="R7" t="s">
        <v>304</v>
      </c>
      <c r="S7" t="s">
        <v>322</v>
      </c>
      <c r="T7" t="s">
        <v>127</v>
      </c>
      <c r="U7" t="s">
        <v>311</v>
      </c>
      <c r="V7">
        <v>325</v>
      </c>
      <c r="W7" t="s">
        <v>323</v>
      </c>
      <c r="X7" t="s">
        <v>324</v>
      </c>
    </row>
    <row r="8" spans="1:24" x14ac:dyDescent="0.25">
      <c r="A8" s="6">
        <v>7</v>
      </c>
      <c r="B8" s="12">
        <v>11545942.8124</v>
      </c>
      <c r="C8" s="62">
        <v>142537.77899999899</v>
      </c>
      <c r="D8" s="12" t="s">
        <v>882</v>
      </c>
      <c r="E8" s="12" t="s">
        <v>883</v>
      </c>
      <c r="F8" s="12">
        <f t="shared" si="0"/>
        <v>103.71896666666666</v>
      </c>
      <c r="G8" s="12">
        <f t="shared" si="1"/>
        <v>1.2803333333333333</v>
      </c>
      <c r="H8">
        <v>6</v>
      </c>
      <c r="I8" t="s">
        <v>304</v>
      </c>
      <c r="J8" t="s">
        <v>325</v>
      </c>
      <c r="K8" t="s">
        <v>326</v>
      </c>
      <c r="L8" t="s">
        <v>311</v>
      </c>
      <c r="M8">
        <v>162</v>
      </c>
      <c r="N8">
        <v>11546221.4453</v>
      </c>
      <c r="O8">
        <v>143136.20580000099</v>
      </c>
      <c r="Q8">
        <v>6</v>
      </c>
      <c r="R8" t="s">
        <v>304</v>
      </c>
      <c r="S8" t="s">
        <v>325</v>
      </c>
      <c r="T8" t="s">
        <v>326</v>
      </c>
      <c r="U8" t="s">
        <v>311</v>
      </c>
      <c r="V8">
        <v>162</v>
      </c>
      <c r="W8" t="s">
        <v>327</v>
      </c>
      <c r="X8" t="s">
        <v>328</v>
      </c>
    </row>
    <row r="9" spans="1:24" x14ac:dyDescent="0.25">
      <c r="A9" s="6">
        <v>8</v>
      </c>
      <c r="B9" s="12">
        <v>11544271.965399999</v>
      </c>
      <c r="C9" s="62">
        <v>141164.58879999799</v>
      </c>
      <c r="D9" s="12" t="s">
        <v>884</v>
      </c>
      <c r="E9" s="12" t="s">
        <v>885</v>
      </c>
      <c r="F9" s="12">
        <f t="shared" si="0"/>
        <v>103.70396666666667</v>
      </c>
      <c r="G9" s="12">
        <f t="shared" si="1"/>
        <v>1.268</v>
      </c>
      <c r="H9">
        <v>7</v>
      </c>
      <c r="I9" t="s">
        <v>304</v>
      </c>
      <c r="J9" t="s">
        <v>329</v>
      </c>
      <c r="K9" t="s">
        <v>102</v>
      </c>
      <c r="L9" t="s">
        <v>311</v>
      </c>
      <c r="M9">
        <v>397</v>
      </c>
      <c r="N9">
        <v>11546439.7269</v>
      </c>
      <c r="O9">
        <v>143195.73719999901</v>
      </c>
      <c r="Q9">
        <v>7</v>
      </c>
      <c r="R9" t="s">
        <v>304</v>
      </c>
      <c r="S9" t="s">
        <v>329</v>
      </c>
      <c r="T9" t="s">
        <v>102</v>
      </c>
      <c r="U9" t="s">
        <v>311</v>
      </c>
      <c r="V9">
        <v>397</v>
      </c>
      <c r="W9" t="s">
        <v>330</v>
      </c>
      <c r="X9" t="s">
        <v>331</v>
      </c>
    </row>
    <row r="10" spans="1:24" x14ac:dyDescent="0.25">
      <c r="A10" s="6">
        <v>9</v>
      </c>
      <c r="B10" s="12">
        <v>11542164.5549</v>
      </c>
      <c r="C10" s="62">
        <v>141490.02690000099</v>
      </c>
      <c r="D10" s="12" t="s">
        <v>886</v>
      </c>
      <c r="E10" s="12" t="s">
        <v>887</v>
      </c>
      <c r="F10" s="12">
        <f t="shared" si="0"/>
        <v>103.68503333333334</v>
      </c>
      <c r="G10" s="12">
        <f t="shared" si="1"/>
        <v>1.2709166666666667</v>
      </c>
      <c r="H10">
        <v>8</v>
      </c>
      <c r="I10" t="s">
        <v>304</v>
      </c>
      <c r="J10" t="s">
        <v>332</v>
      </c>
      <c r="K10" t="s">
        <v>333</v>
      </c>
      <c r="L10" t="s">
        <v>311</v>
      </c>
      <c r="M10">
        <v>800</v>
      </c>
      <c r="N10">
        <v>11545973.3979</v>
      </c>
      <c r="O10">
        <v>142464.82420000099</v>
      </c>
      <c r="Q10">
        <v>8</v>
      </c>
      <c r="R10" t="s">
        <v>304</v>
      </c>
      <c r="S10" t="s">
        <v>332</v>
      </c>
      <c r="T10" t="s">
        <v>333</v>
      </c>
      <c r="U10" t="s">
        <v>311</v>
      </c>
      <c r="V10">
        <v>800</v>
      </c>
      <c r="W10" t="s">
        <v>334</v>
      </c>
      <c r="X10" t="s">
        <v>335</v>
      </c>
    </row>
    <row r="11" spans="1:24" x14ac:dyDescent="0.25">
      <c r="A11" s="6">
        <v>10</v>
      </c>
      <c r="B11" s="12">
        <v>11545942.8124</v>
      </c>
      <c r="C11" s="62">
        <v>142537.77899999899</v>
      </c>
      <c r="D11" s="12" t="s">
        <v>882</v>
      </c>
      <c r="E11" s="12" t="s">
        <v>883</v>
      </c>
      <c r="F11" s="12">
        <f t="shared" si="0"/>
        <v>103.71896666666666</v>
      </c>
      <c r="G11" s="12">
        <f t="shared" si="1"/>
        <v>1.2803333333333333</v>
      </c>
      <c r="H11">
        <v>9</v>
      </c>
      <c r="I11" t="s">
        <v>304</v>
      </c>
      <c r="J11" t="s">
        <v>336</v>
      </c>
      <c r="K11" t="s">
        <v>234</v>
      </c>
      <c r="L11" t="s">
        <v>311</v>
      </c>
      <c r="M11">
        <v>1865</v>
      </c>
      <c r="N11">
        <v>11546820.066299999</v>
      </c>
      <c r="O11">
        <v>142663.26209999999</v>
      </c>
      <c r="Q11">
        <v>9</v>
      </c>
      <c r="R11" t="s">
        <v>304</v>
      </c>
      <c r="S11" t="s">
        <v>336</v>
      </c>
      <c r="T11" t="s">
        <v>234</v>
      </c>
      <c r="U11" t="s">
        <v>311</v>
      </c>
      <c r="V11">
        <v>1865</v>
      </c>
      <c r="W11" t="s">
        <v>337</v>
      </c>
      <c r="X11" t="s">
        <v>338</v>
      </c>
    </row>
    <row r="12" spans="1:24" x14ac:dyDescent="0.25">
      <c r="A12" s="6">
        <v>11</v>
      </c>
      <c r="B12" s="12">
        <v>11544271.965399999</v>
      </c>
      <c r="C12" s="62">
        <v>141164.58879999799</v>
      </c>
      <c r="D12" s="12" t="s">
        <v>884</v>
      </c>
      <c r="E12" s="12" t="s">
        <v>885</v>
      </c>
      <c r="F12" s="12">
        <f t="shared" si="0"/>
        <v>103.70396666666667</v>
      </c>
      <c r="G12" s="12">
        <f t="shared" si="1"/>
        <v>1.268</v>
      </c>
      <c r="H12">
        <v>10</v>
      </c>
      <c r="I12" t="s">
        <v>304</v>
      </c>
      <c r="J12" t="s">
        <v>332</v>
      </c>
      <c r="K12" t="s">
        <v>333</v>
      </c>
      <c r="L12" t="s">
        <v>311</v>
      </c>
      <c r="M12">
        <v>1719</v>
      </c>
      <c r="N12">
        <v>11546929.2071</v>
      </c>
      <c r="O12">
        <v>142554.12130000099</v>
      </c>
      <c r="Q12">
        <v>10</v>
      </c>
      <c r="R12" t="s">
        <v>304</v>
      </c>
      <c r="S12" t="s">
        <v>332</v>
      </c>
      <c r="T12" t="s">
        <v>333</v>
      </c>
      <c r="U12" t="s">
        <v>311</v>
      </c>
      <c r="V12">
        <v>1719</v>
      </c>
      <c r="W12" t="s">
        <v>339</v>
      </c>
      <c r="X12" t="s">
        <v>340</v>
      </c>
    </row>
    <row r="13" spans="1:24" x14ac:dyDescent="0.25">
      <c r="A13" s="6">
        <v>12</v>
      </c>
      <c r="B13" s="12">
        <v>11542164.5549</v>
      </c>
      <c r="C13" s="62">
        <v>141490.02690000099</v>
      </c>
      <c r="D13" s="12" t="s">
        <v>886</v>
      </c>
      <c r="E13" s="12" t="s">
        <v>887</v>
      </c>
      <c r="F13" s="12">
        <f t="shared" si="0"/>
        <v>103.68503333333334</v>
      </c>
      <c r="G13" s="12">
        <f t="shared" si="1"/>
        <v>1.2709166666666667</v>
      </c>
      <c r="H13">
        <v>11</v>
      </c>
      <c r="I13" t="s">
        <v>304</v>
      </c>
      <c r="J13" t="s">
        <v>341</v>
      </c>
      <c r="K13" t="s">
        <v>333</v>
      </c>
      <c r="L13" t="s">
        <v>311</v>
      </c>
      <c r="M13">
        <v>1480</v>
      </c>
      <c r="N13">
        <v>11547097.8793</v>
      </c>
      <c r="O13">
        <v>142388.75640000001</v>
      </c>
      <c r="Q13">
        <v>11</v>
      </c>
      <c r="R13" t="s">
        <v>304</v>
      </c>
      <c r="S13" t="s">
        <v>341</v>
      </c>
      <c r="T13" t="s">
        <v>333</v>
      </c>
      <c r="U13" t="s">
        <v>311</v>
      </c>
      <c r="V13">
        <v>1480</v>
      </c>
      <c r="W13" t="s">
        <v>342</v>
      </c>
      <c r="X13" t="s">
        <v>343</v>
      </c>
    </row>
    <row r="14" spans="1:24" x14ac:dyDescent="0.25">
      <c r="A14" s="6">
        <v>13</v>
      </c>
      <c r="B14" s="12">
        <v>11546142.8923</v>
      </c>
      <c r="C14" s="62">
        <v>143129.871800002</v>
      </c>
      <c r="D14" s="12" t="s">
        <v>888</v>
      </c>
      <c r="E14" s="12" t="s">
        <v>889</v>
      </c>
      <c r="F14" s="12">
        <f t="shared" si="0"/>
        <v>103.72075</v>
      </c>
      <c r="G14" s="12">
        <f t="shared" si="1"/>
        <v>1.2856166666666666</v>
      </c>
      <c r="H14">
        <v>12</v>
      </c>
      <c r="I14" t="s">
        <v>304</v>
      </c>
      <c r="J14" t="s">
        <v>344</v>
      </c>
      <c r="K14" t="s">
        <v>333</v>
      </c>
      <c r="L14" t="s">
        <v>311</v>
      </c>
      <c r="M14">
        <v>1366</v>
      </c>
      <c r="N14">
        <v>11547362.463199999</v>
      </c>
      <c r="O14">
        <v>142335.839600001</v>
      </c>
      <c r="Q14">
        <v>12</v>
      </c>
      <c r="R14" t="s">
        <v>304</v>
      </c>
      <c r="S14" t="s">
        <v>344</v>
      </c>
      <c r="T14" t="s">
        <v>333</v>
      </c>
      <c r="U14" t="s">
        <v>311</v>
      </c>
      <c r="V14">
        <v>1366</v>
      </c>
      <c r="W14" t="s">
        <v>345</v>
      </c>
      <c r="X14" t="s">
        <v>346</v>
      </c>
    </row>
    <row r="15" spans="1:24" x14ac:dyDescent="0.25">
      <c r="A15" s="6">
        <v>14</v>
      </c>
      <c r="B15" s="12">
        <v>11546448.4867</v>
      </c>
      <c r="C15" s="62">
        <v>141902.334899999</v>
      </c>
      <c r="D15" s="12" t="s">
        <v>890</v>
      </c>
      <c r="E15" s="12" t="s">
        <v>891</v>
      </c>
      <c r="F15" s="12">
        <f t="shared" si="0"/>
        <v>103.72351666666667</v>
      </c>
      <c r="G15" s="12">
        <f t="shared" si="1"/>
        <v>1.2746333333333333</v>
      </c>
      <c r="H15">
        <v>13</v>
      </c>
      <c r="I15" t="s">
        <v>304</v>
      </c>
      <c r="J15" t="s">
        <v>347</v>
      </c>
      <c r="K15" t="s">
        <v>348</v>
      </c>
      <c r="L15" t="s">
        <v>311</v>
      </c>
      <c r="M15">
        <v>1049</v>
      </c>
      <c r="N15">
        <v>11547177.2545</v>
      </c>
      <c r="O15">
        <v>142107.636</v>
      </c>
      <c r="Q15">
        <v>13</v>
      </c>
      <c r="R15" t="s">
        <v>304</v>
      </c>
      <c r="S15" t="s">
        <v>347</v>
      </c>
      <c r="T15" t="s">
        <v>348</v>
      </c>
      <c r="U15" t="s">
        <v>311</v>
      </c>
      <c r="V15">
        <v>1049</v>
      </c>
      <c r="W15" t="s">
        <v>349</v>
      </c>
      <c r="X15" t="s">
        <v>350</v>
      </c>
    </row>
    <row r="16" spans="1:24" x14ac:dyDescent="0.25">
      <c r="A16" s="6">
        <v>15</v>
      </c>
      <c r="B16" s="12">
        <v>11545305.4844</v>
      </c>
      <c r="C16" s="62">
        <v>142176.179200001</v>
      </c>
      <c r="D16" s="12" t="s">
        <v>892</v>
      </c>
      <c r="E16" s="12" t="s">
        <v>893</v>
      </c>
      <c r="F16" s="12">
        <f t="shared" si="0"/>
        <v>103.71325</v>
      </c>
      <c r="G16" s="12">
        <f t="shared" si="1"/>
        <v>1.2770833333333333</v>
      </c>
      <c r="H16">
        <v>14</v>
      </c>
      <c r="I16" t="s">
        <v>304</v>
      </c>
      <c r="J16" t="s">
        <v>212</v>
      </c>
      <c r="K16" t="s">
        <v>305</v>
      </c>
      <c r="L16" t="s">
        <v>306</v>
      </c>
      <c r="M16">
        <v>2077</v>
      </c>
      <c r="N16">
        <v>11547696.500299999</v>
      </c>
      <c r="O16">
        <v>141647.92159999901</v>
      </c>
      <c r="Q16">
        <v>14</v>
      </c>
      <c r="R16" t="s">
        <v>304</v>
      </c>
      <c r="S16" t="s">
        <v>212</v>
      </c>
      <c r="T16" t="s">
        <v>305</v>
      </c>
      <c r="U16" t="s">
        <v>306</v>
      </c>
      <c r="V16">
        <v>2077</v>
      </c>
      <c r="W16" t="s">
        <v>351</v>
      </c>
      <c r="X16" t="s">
        <v>352</v>
      </c>
    </row>
    <row r="17" spans="1:24" x14ac:dyDescent="0.25">
      <c r="A17" s="6">
        <v>16</v>
      </c>
      <c r="B17" s="12">
        <v>11545715.7995</v>
      </c>
      <c r="C17" s="62">
        <v>141473.622699998</v>
      </c>
      <c r="D17" s="12" t="s">
        <v>904</v>
      </c>
      <c r="E17" s="12" t="s">
        <v>905</v>
      </c>
      <c r="F17" s="12">
        <f t="shared" si="0"/>
        <v>103.71693333333333</v>
      </c>
      <c r="G17" s="12">
        <f t="shared" si="1"/>
        <v>1.2707666666666666</v>
      </c>
      <c r="H17">
        <v>15</v>
      </c>
      <c r="I17" t="s">
        <v>304</v>
      </c>
      <c r="J17" t="s">
        <v>353</v>
      </c>
      <c r="K17" t="s">
        <v>354</v>
      </c>
      <c r="L17" t="s">
        <v>311</v>
      </c>
      <c r="M17">
        <v>117</v>
      </c>
      <c r="N17">
        <v>11546502.5656</v>
      </c>
      <c r="O17">
        <v>141852.97410000101</v>
      </c>
      <c r="Q17">
        <v>15</v>
      </c>
      <c r="R17" t="s">
        <v>304</v>
      </c>
      <c r="S17" t="s">
        <v>353</v>
      </c>
      <c r="T17" t="s">
        <v>354</v>
      </c>
      <c r="U17" t="s">
        <v>311</v>
      </c>
      <c r="V17">
        <v>117</v>
      </c>
      <c r="W17" t="s">
        <v>355</v>
      </c>
      <c r="X17" t="s">
        <v>356</v>
      </c>
    </row>
    <row r="18" spans="1:24" x14ac:dyDescent="0.25">
      <c r="A18" s="6">
        <v>17</v>
      </c>
      <c r="B18" s="12">
        <v>11544227.8343</v>
      </c>
      <c r="C18" s="62">
        <v>141114.13960000101</v>
      </c>
      <c r="D18" s="12" t="s">
        <v>894</v>
      </c>
      <c r="E18" s="12" t="s">
        <v>895</v>
      </c>
      <c r="F18" s="12">
        <f t="shared" si="0"/>
        <v>103.70356666666666</v>
      </c>
      <c r="G18" s="12">
        <f t="shared" si="1"/>
        <v>1.26755</v>
      </c>
      <c r="H18">
        <v>16</v>
      </c>
      <c r="I18" t="s">
        <v>304</v>
      </c>
      <c r="J18" t="s">
        <v>104</v>
      </c>
      <c r="K18" t="s">
        <v>305</v>
      </c>
      <c r="L18" t="s">
        <v>306</v>
      </c>
      <c r="M18">
        <v>754</v>
      </c>
      <c r="N18">
        <v>11546459.570699999</v>
      </c>
      <c r="O18">
        <v>141452.79100000099</v>
      </c>
      <c r="Q18">
        <v>16</v>
      </c>
      <c r="R18" t="s">
        <v>304</v>
      </c>
      <c r="S18" t="s">
        <v>104</v>
      </c>
      <c r="T18" t="s">
        <v>305</v>
      </c>
      <c r="U18" t="s">
        <v>306</v>
      </c>
      <c r="V18">
        <v>754</v>
      </c>
      <c r="W18" t="s">
        <v>357</v>
      </c>
      <c r="X18" t="s">
        <v>358</v>
      </c>
    </row>
    <row r="19" spans="1:24" x14ac:dyDescent="0.25">
      <c r="A19" s="6">
        <v>18</v>
      </c>
      <c r="B19" s="12">
        <v>11543857.4169</v>
      </c>
      <c r="C19" s="62">
        <v>140386.53400000199</v>
      </c>
      <c r="D19" s="12" t="s">
        <v>896</v>
      </c>
      <c r="E19" s="12" t="s">
        <v>897</v>
      </c>
      <c r="F19" s="12">
        <f t="shared" si="0"/>
        <v>103.70023333333333</v>
      </c>
      <c r="G19" s="12">
        <f t="shared" si="1"/>
        <v>1.2610166666666667</v>
      </c>
      <c r="H19">
        <v>17</v>
      </c>
      <c r="I19" t="s">
        <v>304</v>
      </c>
      <c r="J19" t="s">
        <v>359</v>
      </c>
      <c r="K19" t="s">
        <v>360</v>
      </c>
      <c r="L19" t="s">
        <v>311</v>
      </c>
      <c r="M19">
        <v>758</v>
      </c>
      <c r="N19">
        <v>11546105.6898</v>
      </c>
      <c r="O19">
        <v>141459.4056</v>
      </c>
      <c r="Q19">
        <v>17</v>
      </c>
      <c r="R19" t="s">
        <v>304</v>
      </c>
      <c r="S19" t="s">
        <v>359</v>
      </c>
      <c r="T19" t="s">
        <v>360</v>
      </c>
      <c r="U19" t="s">
        <v>311</v>
      </c>
      <c r="V19">
        <v>758</v>
      </c>
      <c r="W19" t="s">
        <v>361</v>
      </c>
      <c r="X19" t="s">
        <v>362</v>
      </c>
    </row>
    <row r="20" spans="1:24" x14ac:dyDescent="0.25">
      <c r="A20" s="6">
        <v>19</v>
      </c>
      <c r="B20" s="12">
        <v>11542075.7797</v>
      </c>
      <c r="C20" s="62">
        <v>141579.92189999999</v>
      </c>
      <c r="D20" s="12" t="s">
        <v>898</v>
      </c>
      <c r="E20" s="12" t="s">
        <v>899</v>
      </c>
      <c r="F20" s="12">
        <f t="shared" si="0"/>
        <v>103.68423333333334</v>
      </c>
      <c r="G20" s="12">
        <f t="shared" si="1"/>
        <v>1.2717333333333334</v>
      </c>
      <c r="H20">
        <v>18</v>
      </c>
      <c r="I20" t="s">
        <v>304</v>
      </c>
      <c r="J20" t="s">
        <v>363</v>
      </c>
      <c r="K20" t="s">
        <v>364</v>
      </c>
      <c r="L20" t="s">
        <v>311</v>
      </c>
      <c r="M20">
        <v>123</v>
      </c>
      <c r="N20">
        <v>11546393.424799999</v>
      </c>
      <c r="O20">
        <v>141955.500300001</v>
      </c>
      <c r="Q20">
        <v>18</v>
      </c>
      <c r="R20" t="s">
        <v>304</v>
      </c>
      <c r="S20" t="s">
        <v>363</v>
      </c>
      <c r="T20" t="s">
        <v>364</v>
      </c>
      <c r="U20" t="s">
        <v>311</v>
      </c>
      <c r="V20">
        <v>123</v>
      </c>
      <c r="W20" t="s">
        <v>365</v>
      </c>
      <c r="X20" t="s">
        <v>366</v>
      </c>
    </row>
    <row r="21" spans="1:24" x14ac:dyDescent="0.25">
      <c r="A21" s="6">
        <v>20</v>
      </c>
      <c r="B21" s="12">
        <v>11541870.4256</v>
      </c>
      <c r="C21" s="62">
        <v>139228.51300000001</v>
      </c>
      <c r="D21" s="12" t="s">
        <v>900</v>
      </c>
      <c r="E21" s="12" t="s">
        <v>901</v>
      </c>
      <c r="F21" s="12">
        <f t="shared" si="0"/>
        <v>103.68238333333333</v>
      </c>
      <c r="G21" s="12">
        <f t="shared" si="1"/>
        <v>1.2506166666666667</v>
      </c>
      <c r="H21">
        <v>19</v>
      </c>
      <c r="I21" t="s">
        <v>304</v>
      </c>
      <c r="J21" t="s">
        <v>85</v>
      </c>
      <c r="K21" t="s">
        <v>305</v>
      </c>
      <c r="L21" t="s">
        <v>306</v>
      </c>
      <c r="M21">
        <v>250</v>
      </c>
      <c r="N21">
        <v>11546307.435000001</v>
      </c>
      <c r="O21">
        <v>142048.10469999901</v>
      </c>
      <c r="Q21">
        <v>19</v>
      </c>
      <c r="R21" t="s">
        <v>304</v>
      </c>
      <c r="S21" t="s">
        <v>85</v>
      </c>
      <c r="T21" t="s">
        <v>305</v>
      </c>
      <c r="U21" t="s">
        <v>306</v>
      </c>
      <c r="V21">
        <v>250</v>
      </c>
      <c r="W21" t="s">
        <v>367</v>
      </c>
      <c r="X21" t="s">
        <v>368</v>
      </c>
    </row>
    <row r="22" spans="1:24" x14ac:dyDescent="0.25">
      <c r="A22" s="6">
        <v>21</v>
      </c>
      <c r="B22" s="12">
        <v>11540047.508300001</v>
      </c>
      <c r="C22" s="62">
        <v>141027.09770000001</v>
      </c>
      <c r="D22" s="12" t="s">
        <v>902</v>
      </c>
      <c r="E22" s="12" t="s">
        <v>903</v>
      </c>
      <c r="F22" s="12">
        <f t="shared" si="0"/>
        <v>103.66601666666666</v>
      </c>
      <c r="G22" s="12">
        <f t="shared" si="1"/>
        <v>1.2667666666666666</v>
      </c>
      <c r="H22">
        <v>20</v>
      </c>
      <c r="I22" t="s">
        <v>304</v>
      </c>
      <c r="J22" t="s">
        <v>369</v>
      </c>
      <c r="K22" t="s">
        <v>370</v>
      </c>
      <c r="L22" t="s">
        <v>311</v>
      </c>
      <c r="M22">
        <v>314</v>
      </c>
      <c r="N22">
        <v>11546261.1328</v>
      </c>
      <c r="O22">
        <v>142097.71410000001</v>
      </c>
      <c r="Q22">
        <v>20</v>
      </c>
      <c r="R22" t="s">
        <v>304</v>
      </c>
      <c r="S22" t="s">
        <v>369</v>
      </c>
      <c r="T22" t="s">
        <v>370</v>
      </c>
      <c r="U22" t="s">
        <v>311</v>
      </c>
      <c r="V22">
        <v>314</v>
      </c>
      <c r="W22" t="s">
        <v>371</v>
      </c>
      <c r="X22" t="s">
        <v>372</v>
      </c>
    </row>
    <row r="23" spans="1:24" x14ac:dyDescent="0.25">
      <c r="A23" s="6">
        <v>22</v>
      </c>
      <c r="B23" s="12">
        <v>11546142.8923</v>
      </c>
      <c r="C23" s="62">
        <v>143129.871800002</v>
      </c>
      <c r="D23" s="12" t="s">
        <v>888</v>
      </c>
      <c r="E23" s="12" t="s">
        <v>889</v>
      </c>
      <c r="F23" s="12">
        <f t="shared" si="0"/>
        <v>103.72075</v>
      </c>
      <c r="G23" s="12">
        <f t="shared" si="1"/>
        <v>1.2856166666666666</v>
      </c>
      <c r="H23">
        <v>21</v>
      </c>
      <c r="I23" t="s">
        <v>304</v>
      </c>
      <c r="J23" t="s">
        <v>87</v>
      </c>
      <c r="K23" t="s">
        <v>305</v>
      </c>
      <c r="L23" t="s">
        <v>306</v>
      </c>
      <c r="M23">
        <v>452</v>
      </c>
      <c r="N23">
        <v>11546168.5285</v>
      </c>
      <c r="O23">
        <v>142183.70389999801</v>
      </c>
      <c r="Q23">
        <v>21</v>
      </c>
      <c r="R23" t="s">
        <v>304</v>
      </c>
      <c r="S23" t="s">
        <v>87</v>
      </c>
      <c r="T23" t="s">
        <v>305</v>
      </c>
      <c r="U23" t="s">
        <v>306</v>
      </c>
      <c r="V23">
        <v>452</v>
      </c>
      <c r="W23" t="s">
        <v>373</v>
      </c>
      <c r="X23" t="s">
        <v>374</v>
      </c>
    </row>
    <row r="24" spans="1:24" x14ac:dyDescent="0.25">
      <c r="A24" s="6">
        <v>23</v>
      </c>
      <c r="B24" s="12">
        <v>11546448.4867</v>
      </c>
      <c r="C24" s="62">
        <v>141902.334899999</v>
      </c>
      <c r="D24" s="12" t="s">
        <v>890</v>
      </c>
      <c r="E24" s="12" t="s">
        <v>891</v>
      </c>
      <c r="F24" s="12">
        <f t="shared" si="0"/>
        <v>103.72351666666667</v>
      </c>
      <c r="G24" s="12">
        <f t="shared" si="1"/>
        <v>1.2746333333333333</v>
      </c>
      <c r="H24">
        <v>22</v>
      </c>
      <c r="I24" t="s">
        <v>304</v>
      </c>
      <c r="J24" t="s">
        <v>375</v>
      </c>
      <c r="K24" t="s">
        <v>376</v>
      </c>
      <c r="L24" t="s">
        <v>311</v>
      </c>
      <c r="M24">
        <v>335</v>
      </c>
      <c r="N24">
        <v>11546280.976600001</v>
      </c>
      <c r="O24">
        <v>141747.14050000199</v>
      </c>
      <c r="Q24">
        <v>22</v>
      </c>
      <c r="R24" t="s">
        <v>304</v>
      </c>
      <c r="S24" t="s">
        <v>375</v>
      </c>
      <c r="T24" t="s">
        <v>376</v>
      </c>
      <c r="U24" t="s">
        <v>311</v>
      </c>
      <c r="V24">
        <v>335</v>
      </c>
      <c r="W24" t="s">
        <v>377</v>
      </c>
      <c r="X24" t="s">
        <v>378</v>
      </c>
    </row>
    <row r="25" spans="1:24" x14ac:dyDescent="0.25">
      <c r="A25" s="6">
        <v>24</v>
      </c>
      <c r="B25" s="12">
        <v>11545305.4844</v>
      </c>
      <c r="C25" s="62">
        <v>142176.179200001</v>
      </c>
      <c r="D25" s="12" t="s">
        <v>892</v>
      </c>
      <c r="E25" s="12" t="s">
        <v>893</v>
      </c>
      <c r="F25" s="12">
        <f t="shared" si="0"/>
        <v>103.71325</v>
      </c>
      <c r="G25" s="12">
        <f t="shared" si="1"/>
        <v>1.2770833333333333</v>
      </c>
      <c r="H25">
        <v>23</v>
      </c>
      <c r="I25" t="s">
        <v>304</v>
      </c>
      <c r="J25" t="s">
        <v>379</v>
      </c>
      <c r="K25" t="s">
        <v>376</v>
      </c>
      <c r="L25" t="s">
        <v>311</v>
      </c>
      <c r="M25">
        <v>445</v>
      </c>
      <c r="N25">
        <v>11546208.2161</v>
      </c>
      <c r="O25">
        <v>141671.07270000101</v>
      </c>
      <c r="Q25">
        <v>23</v>
      </c>
      <c r="R25" t="s">
        <v>304</v>
      </c>
      <c r="S25" t="s">
        <v>379</v>
      </c>
      <c r="T25" t="s">
        <v>376</v>
      </c>
      <c r="U25" t="s">
        <v>311</v>
      </c>
      <c r="V25">
        <v>445</v>
      </c>
      <c r="W25" t="s">
        <v>380</v>
      </c>
      <c r="X25" t="s">
        <v>381</v>
      </c>
    </row>
    <row r="26" spans="1:24" x14ac:dyDescent="0.25">
      <c r="A26" s="6">
        <v>25</v>
      </c>
      <c r="B26" s="12">
        <v>11545715.7995</v>
      </c>
      <c r="C26" s="62">
        <v>141473.622699998</v>
      </c>
      <c r="D26" s="12" t="s">
        <v>904</v>
      </c>
      <c r="E26" s="12" t="s">
        <v>905</v>
      </c>
      <c r="F26" s="12">
        <f t="shared" si="0"/>
        <v>103.71693333333333</v>
      </c>
      <c r="G26" s="12">
        <f t="shared" si="1"/>
        <v>1.2707666666666666</v>
      </c>
      <c r="H26">
        <v>24</v>
      </c>
      <c r="I26" t="s">
        <v>304</v>
      </c>
      <c r="J26" t="s">
        <v>96</v>
      </c>
      <c r="K26" t="s">
        <v>305</v>
      </c>
      <c r="L26" t="s">
        <v>306</v>
      </c>
      <c r="M26">
        <v>519</v>
      </c>
      <c r="N26">
        <v>11546151.992000001</v>
      </c>
      <c r="O26">
        <v>141608.23400000099</v>
      </c>
      <c r="Q26">
        <v>24</v>
      </c>
      <c r="R26" t="s">
        <v>304</v>
      </c>
      <c r="S26" t="s">
        <v>96</v>
      </c>
      <c r="T26" t="s">
        <v>305</v>
      </c>
      <c r="U26" t="s">
        <v>306</v>
      </c>
      <c r="V26">
        <v>519</v>
      </c>
      <c r="W26" t="s">
        <v>382</v>
      </c>
      <c r="X26" t="s">
        <v>383</v>
      </c>
    </row>
    <row r="27" spans="1:24" x14ac:dyDescent="0.25">
      <c r="A27" s="6">
        <v>26</v>
      </c>
      <c r="B27" s="12">
        <v>11544227.8343</v>
      </c>
      <c r="C27" s="62">
        <v>141114.13960000101</v>
      </c>
      <c r="D27" s="12" t="s">
        <v>894</v>
      </c>
      <c r="E27" s="12" t="s">
        <v>895</v>
      </c>
      <c r="F27" s="12">
        <f t="shared" si="0"/>
        <v>103.70356666666666</v>
      </c>
      <c r="G27" s="12">
        <f t="shared" si="1"/>
        <v>1.26755</v>
      </c>
      <c r="H27">
        <v>25</v>
      </c>
      <c r="I27" t="s">
        <v>304</v>
      </c>
      <c r="J27" t="s">
        <v>97</v>
      </c>
      <c r="K27" t="s">
        <v>305</v>
      </c>
      <c r="L27" t="s">
        <v>306</v>
      </c>
      <c r="M27">
        <v>656</v>
      </c>
      <c r="N27">
        <v>11546059.387599999</v>
      </c>
      <c r="O27">
        <v>141509.015000001</v>
      </c>
      <c r="Q27">
        <v>25</v>
      </c>
      <c r="R27" t="s">
        <v>304</v>
      </c>
      <c r="S27" t="s">
        <v>97</v>
      </c>
      <c r="T27" t="s">
        <v>305</v>
      </c>
      <c r="U27" t="s">
        <v>306</v>
      </c>
      <c r="V27">
        <v>656</v>
      </c>
      <c r="W27" t="s">
        <v>384</v>
      </c>
      <c r="X27" t="s">
        <v>385</v>
      </c>
    </row>
    <row r="28" spans="1:24" x14ac:dyDescent="0.25">
      <c r="A28" s="6">
        <v>27</v>
      </c>
      <c r="B28" s="12">
        <v>11543857.4169</v>
      </c>
      <c r="C28" s="62">
        <v>140386.53400000199</v>
      </c>
      <c r="D28" s="12" t="s">
        <v>896</v>
      </c>
      <c r="E28" s="12" t="s">
        <v>897</v>
      </c>
      <c r="F28" s="12">
        <f t="shared" si="0"/>
        <v>103.70023333333333</v>
      </c>
      <c r="G28" s="12">
        <f t="shared" si="1"/>
        <v>1.2610166666666667</v>
      </c>
      <c r="H28">
        <v>26</v>
      </c>
      <c r="I28" t="s">
        <v>304</v>
      </c>
      <c r="J28" t="s">
        <v>386</v>
      </c>
      <c r="K28" t="s">
        <v>387</v>
      </c>
      <c r="L28" t="s">
        <v>311</v>
      </c>
      <c r="M28">
        <v>725</v>
      </c>
      <c r="N28">
        <v>11545662.5119</v>
      </c>
      <c r="O28">
        <v>141717.37479999999</v>
      </c>
      <c r="Q28">
        <v>26</v>
      </c>
      <c r="R28" t="s">
        <v>304</v>
      </c>
      <c r="S28" t="s">
        <v>386</v>
      </c>
      <c r="T28" t="s">
        <v>387</v>
      </c>
      <c r="U28" t="s">
        <v>311</v>
      </c>
      <c r="V28">
        <v>725</v>
      </c>
      <c r="W28" t="s">
        <v>388</v>
      </c>
      <c r="X28" t="s">
        <v>389</v>
      </c>
    </row>
    <row r="29" spans="1:24" x14ac:dyDescent="0.25">
      <c r="A29" s="6">
        <v>28</v>
      </c>
      <c r="B29" s="12">
        <v>11542075.7797</v>
      </c>
      <c r="C29" s="62">
        <v>141579.92189999999</v>
      </c>
      <c r="D29" s="12" t="s">
        <v>898</v>
      </c>
      <c r="E29" s="12" t="s">
        <v>899</v>
      </c>
      <c r="F29" s="12">
        <f t="shared" si="0"/>
        <v>103.68423333333334</v>
      </c>
      <c r="G29" s="12">
        <f t="shared" si="1"/>
        <v>1.2717333333333334</v>
      </c>
      <c r="H29">
        <v>27</v>
      </c>
      <c r="I29" t="s">
        <v>304</v>
      </c>
      <c r="J29" t="s">
        <v>390</v>
      </c>
      <c r="K29" t="s">
        <v>387</v>
      </c>
      <c r="L29" t="s">
        <v>311</v>
      </c>
      <c r="M29">
        <v>636</v>
      </c>
      <c r="N29">
        <v>11545579.829399999</v>
      </c>
      <c r="O29">
        <v>141753.755100001</v>
      </c>
      <c r="Q29">
        <v>27</v>
      </c>
      <c r="R29" t="s">
        <v>304</v>
      </c>
      <c r="S29" t="s">
        <v>390</v>
      </c>
      <c r="T29" t="s">
        <v>387</v>
      </c>
      <c r="U29" t="s">
        <v>311</v>
      </c>
      <c r="V29">
        <v>636</v>
      </c>
      <c r="W29" t="s">
        <v>391</v>
      </c>
      <c r="X29" t="s">
        <v>392</v>
      </c>
    </row>
    <row r="30" spans="1:24" x14ac:dyDescent="0.25">
      <c r="A30" s="6">
        <v>29</v>
      </c>
      <c r="B30" s="12">
        <v>11541870.4256</v>
      </c>
      <c r="C30" s="62">
        <v>139228.51300000001</v>
      </c>
      <c r="D30" s="12" t="s">
        <v>900</v>
      </c>
      <c r="E30" s="12" t="s">
        <v>901</v>
      </c>
      <c r="F30" s="12">
        <f t="shared" si="0"/>
        <v>103.68238333333333</v>
      </c>
      <c r="G30" s="12">
        <f t="shared" si="1"/>
        <v>1.2506166666666667</v>
      </c>
      <c r="H30">
        <v>28</v>
      </c>
      <c r="I30" t="s">
        <v>304</v>
      </c>
      <c r="J30" t="s">
        <v>393</v>
      </c>
      <c r="K30" t="s">
        <v>387</v>
      </c>
      <c r="L30" t="s">
        <v>311</v>
      </c>
      <c r="M30">
        <v>508</v>
      </c>
      <c r="N30">
        <v>11545503.761499999</v>
      </c>
      <c r="O30">
        <v>141826.51570000101</v>
      </c>
      <c r="Q30">
        <v>28</v>
      </c>
      <c r="R30" t="s">
        <v>304</v>
      </c>
      <c r="S30" t="s">
        <v>393</v>
      </c>
      <c r="T30" t="s">
        <v>387</v>
      </c>
      <c r="U30" t="s">
        <v>311</v>
      </c>
      <c r="V30">
        <v>508</v>
      </c>
      <c r="W30" t="s">
        <v>394</v>
      </c>
      <c r="X30" t="s">
        <v>395</v>
      </c>
    </row>
    <row r="31" spans="1:24" x14ac:dyDescent="0.25">
      <c r="A31" s="6">
        <v>30</v>
      </c>
      <c r="B31" s="12">
        <v>11540047.508300001</v>
      </c>
      <c r="C31" s="62">
        <v>141027.09770000001</v>
      </c>
      <c r="D31" s="12" t="s">
        <v>902</v>
      </c>
      <c r="E31" s="12" t="s">
        <v>903</v>
      </c>
      <c r="F31" s="12">
        <f t="shared" si="0"/>
        <v>103.66601666666666</v>
      </c>
      <c r="G31" s="12">
        <f t="shared" si="1"/>
        <v>1.2667666666666666</v>
      </c>
      <c r="H31">
        <v>29</v>
      </c>
      <c r="I31" t="s">
        <v>304</v>
      </c>
      <c r="J31" t="s">
        <v>88</v>
      </c>
      <c r="K31" t="s">
        <v>396</v>
      </c>
      <c r="L31" t="s">
        <v>306</v>
      </c>
      <c r="M31">
        <v>770</v>
      </c>
      <c r="N31">
        <v>11545937.0176</v>
      </c>
      <c r="O31">
        <v>142418.52210000201</v>
      </c>
      <c r="Q31">
        <v>29</v>
      </c>
      <c r="R31" t="s">
        <v>304</v>
      </c>
      <c r="S31" t="s">
        <v>88</v>
      </c>
      <c r="T31" t="s">
        <v>396</v>
      </c>
      <c r="U31" t="s">
        <v>306</v>
      </c>
      <c r="V31">
        <v>770</v>
      </c>
      <c r="W31" t="s">
        <v>397</v>
      </c>
      <c r="X31" t="s">
        <v>398</v>
      </c>
    </row>
    <row r="32" spans="1:24" x14ac:dyDescent="0.25">
      <c r="A32" s="6">
        <v>31</v>
      </c>
      <c r="B32" s="12">
        <v>11546065.314300001</v>
      </c>
      <c r="C32" s="62">
        <v>143069.75120000201</v>
      </c>
      <c r="D32" s="12" t="s">
        <v>461</v>
      </c>
      <c r="E32" s="12" t="s">
        <v>462</v>
      </c>
      <c r="F32" s="12">
        <f t="shared" si="0"/>
        <v>103.72006666666667</v>
      </c>
      <c r="G32" s="12">
        <f t="shared" si="1"/>
        <v>1.2851166666666667</v>
      </c>
      <c r="H32">
        <v>30</v>
      </c>
      <c r="I32" t="s">
        <v>304</v>
      </c>
      <c r="J32" t="s">
        <v>399</v>
      </c>
      <c r="K32" t="s">
        <v>400</v>
      </c>
      <c r="L32" t="s">
        <v>311</v>
      </c>
      <c r="M32">
        <v>540</v>
      </c>
      <c r="N32">
        <v>11545751.808900001</v>
      </c>
      <c r="O32">
        <v>142329.225000001</v>
      </c>
      <c r="Q32">
        <v>30</v>
      </c>
      <c r="R32" t="s">
        <v>304</v>
      </c>
      <c r="S32" t="s">
        <v>399</v>
      </c>
      <c r="T32" t="s">
        <v>400</v>
      </c>
      <c r="U32" t="s">
        <v>311</v>
      </c>
      <c r="V32">
        <v>540</v>
      </c>
      <c r="W32" t="s">
        <v>401</v>
      </c>
      <c r="X32" t="s">
        <v>402</v>
      </c>
    </row>
    <row r="33" spans="1:24" x14ac:dyDescent="0.25">
      <c r="A33" s="6">
        <v>32</v>
      </c>
      <c r="B33" s="12">
        <v>11546092.4606</v>
      </c>
      <c r="C33" s="62">
        <v>142855.08540000001</v>
      </c>
      <c r="D33" s="12" t="s">
        <v>323</v>
      </c>
      <c r="E33" s="12" t="s">
        <v>324</v>
      </c>
      <c r="F33" s="12">
        <f t="shared" si="0"/>
        <v>103.72031666666666</v>
      </c>
      <c r="G33" s="12">
        <f t="shared" si="1"/>
        <v>1.2831833333333333</v>
      </c>
      <c r="H33">
        <v>31</v>
      </c>
      <c r="I33" t="s">
        <v>304</v>
      </c>
      <c r="J33" t="s">
        <v>77</v>
      </c>
      <c r="K33" t="s">
        <v>396</v>
      </c>
      <c r="L33" t="s">
        <v>306</v>
      </c>
      <c r="M33">
        <v>400</v>
      </c>
      <c r="N33">
        <v>11545616.2097</v>
      </c>
      <c r="O33">
        <v>142256.46449999901</v>
      </c>
      <c r="Q33">
        <v>31</v>
      </c>
      <c r="R33" t="s">
        <v>304</v>
      </c>
      <c r="S33" t="s">
        <v>77</v>
      </c>
      <c r="T33" t="s">
        <v>396</v>
      </c>
      <c r="U33" t="s">
        <v>306</v>
      </c>
      <c r="V33">
        <v>400</v>
      </c>
      <c r="W33" t="s">
        <v>403</v>
      </c>
      <c r="X33" t="s">
        <v>404</v>
      </c>
    </row>
    <row r="34" spans="1:24" x14ac:dyDescent="0.25">
      <c r="A34" s="6">
        <v>33</v>
      </c>
      <c r="B34" s="12">
        <v>11546002.4757</v>
      </c>
      <c r="C34" s="62">
        <v>142811.7819</v>
      </c>
      <c r="D34" s="12" t="s">
        <v>463</v>
      </c>
      <c r="E34" s="12" t="s">
        <v>464</v>
      </c>
      <c r="F34" s="12">
        <f t="shared" si="0"/>
        <v>103.7195</v>
      </c>
      <c r="G34" s="12">
        <f t="shared" si="1"/>
        <v>1.2827999999999999</v>
      </c>
      <c r="H34">
        <v>32</v>
      </c>
      <c r="I34" t="s">
        <v>304</v>
      </c>
      <c r="J34" t="s">
        <v>70</v>
      </c>
      <c r="K34" t="s">
        <v>396</v>
      </c>
      <c r="L34" t="s">
        <v>306</v>
      </c>
      <c r="M34">
        <v>186</v>
      </c>
      <c r="N34">
        <v>11545374.776900001</v>
      </c>
      <c r="O34">
        <v>142097.71410000001</v>
      </c>
      <c r="Q34">
        <v>32</v>
      </c>
      <c r="R34" t="s">
        <v>304</v>
      </c>
      <c r="S34" t="s">
        <v>70</v>
      </c>
      <c r="T34" t="s">
        <v>396</v>
      </c>
      <c r="U34" t="s">
        <v>306</v>
      </c>
      <c r="V34">
        <v>186</v>
      </c>
      <c r="W34" t="s">
        <v>405</v>
      </c>
      <c r="X34" t="s">
        <v>372</v>
      </c>
    </row>
    <row r="35" spans="1:24" x14ac:dyDescent="0.25">
      <c r="A35" s="6">
        <v>34</v>
      </c>
      <c r="B35" s="12">
        <v>11546221.4453</v>
      </c>
      <c r="C35" s="62">
        <v>143136.20580000099</v>
      </c>
      <c r="D35" s="12" t="s">
        <v>327</v>
      </c>
      <c r="E35" s="12" t="s">
        <v>328</v>
      </c>
      <c r="F35" s="12">
        <f t="shared" si="0"/>
        <v>103.72146666666667</v>
      </c>
      <c r="G35" s="12">
        <f t="shared" si="1"/>
        <v>1.2857000000000001</v>
      </c>
      <c r="H35">
        <v>33</v>
      </c>
      <c r="I35" t="s">
        <v>304</v>
      </c>
      <c r="J35" t="s">
        <v>72</v>
      </c>
      <c r="K35" t="s">
        <v>396</v>
      </c>
      <c r="L35" t="s">
        <v>306</v>
      </c>
      <c r="M35">
        <v>323</v>
      </c>
      <c r="N35">
        <v>11545414.464500001</v>
      </c>
      <c r="O35">
        <v>141968.729499999</v>
      </c>
      <c r="Q35">
        <v>33</v>
      </c>
      <c r="R35" t="s">
        <v>304</v>
      </c>
      <c r="S35" t="s">
        <v>72</v>
      </c>
      <c r="T35" t="s">
        <v>396</v>
      </c>
      <c r="U35" t="s">
        <v>306</v>
      </c>
      <c r="V35">
        <v>323</v>
      </c>
      <c r="W35" t="s">
        <v>406</v>
      </c>
      <c r="X35" t="s">
        <v>407</v>
      </c>
    </row>
    <row r="36" spans="1:24" x14ac:dyDescent="0.25">
      <c r="A36" s="6">
        <v>35</v>
      </c>
      <c r="B36" s="12">
        <v>11546439.7269</v>
      </c>
      <c r="C36" s="62">
        <v>143195.73719999901</v>
      </c>
      <c r="D36" s="12" t="s">
        <v>330</v>
      </c>
      <c r="E36" s="12" t="s">
        <v>331</v>
      </c>
      <c r="F36" s="12">
        <f t="shared" si="0"/>
        <v>103.72343333333333</v>
      </c>
      <c r="G36" s="12">
        <f t="shared" si="1"/>
        <v>1.2862333333333333</v>
      </c>
      <c r="H36">
        <v>34</v>
      </c>
      <c r="I36" t="s">
        <v>304</v>
      </c>
      <c r="J36" t="s">
        <v>408</v>
      </c>
      <c r="K36" t="s">
        <v>409</v>
      </c>
      <c r="L36" t="s">
        <v>311</v>
      </c>
      <c r="M36">
        <v>1037</v>
      </c>
      <c r="N36">
        <v>11545767.657500001</v>
      </c>
      <c r="O36">
        <v>141455.78959999999</v>
      </c>
      <c r="Q36">
        <v>34</v>
      </c>
      <c r="R36" t="s">
        <v>304</v>
      </c>
      <c r="S36" t="s">
        <v>408</v>
      </c>
      <c r="T36" t="s">
        <v>409</v>
      </c>
      <c r="U36" t="s">
        <v>311</v>
      </c>
      <c r="V36">
        <v>1037</v>
      </c>
      <c r="W36" t="s">
        <v>410</v>
      </c>
      <c r="X36" t="s">
        <v>411</v>
      </c>
    </row>
    <row r="37" spans="1:24" x14ac:dyDescent="0.25">
      <c r="A37" s="6">
        <v>36</v>
      </c>
      <c r="B37" s="12">
        <v>11546155.2993</v>
      </c>
      <c r="C37" s="62">
        <v>143235.42469999901</v>
      </c>
      <c r="D37" s="12" t="s">
        <v>318</v>
      </c>
      <c r="E37" s="12" t="s">
        <v>321</v>
      </c>
      <c r="F37" s="12">
        <f t="shared" si="0"/>
        <v>103.72088333333333</v>
      </c>
      <c r="G37" s="12">
        <f t="shared" si="1"/>
        <v>1.2866</v>
      </c>
      <c r="H37">
        <v>35</v>
      </c>
      <c r="I37" t="s">
        <v>304</v>
      </c>
      <c r="J37" t="s">
        <v>412</v>
      </c>
      <c r="K37" t="s">
        <v>413</v>
      </c>
      <c r="L37" t="s">
        <v>311</v>
      </c>
      <c r="M37">
        <v>2191</v>
      </c>
      <c r="N37">
        <v>11546875.602399999</v>
      </c>
      <c r="O37">
        <v>140943.158399999</v>
      </c>
      <c r="Q37">
        <v>35</v>
      </c>
      <c r="R37" t="s">
        <v>304</v>
      </c>
      <c r="S37" t="s">
        <v>412</v>
      </c>
      <c r="T37" t="s">
        <v>413</v>
      </c>
      <c r="U37" t="s">
        <v>311</v>
      </c>
      <c r="V37">
        <v>2191</v>
      </c>
      <c r="W37" t="s">
        <v>414</v>
      </c>
      <c r="X37" t="s">
        <v>415</v>
      </c>
    </row>
    <row r="38" spans="1:24" x14ac:dyDescent="0.25">
      <c r="A38" s="6">
        <v>37</v>
      </c>
      <c r="B38" s="12">
        <v>11546095.08</v>
      </c>
      <c r="C38" s="62">
        <v>143258.26720000099</v>
      </c>
      <c r="D38" s="12" t="s">
        <v>457</v>
      </c>
      <c r="E38" s="12" t="s">
        <v>458</v>
      </c>
      <c r="F38" s="12">
        <f t="shared" si="0"/>
        <v>103.72033333333333</v>
      </c>
      <c r="G38" s="12">
        <f t="shared" si="1"/>
        <v>1.2867999999999999</v>
      </c>
      <c r="H38">
        <v>36</v>
      </c>
      <c r="I38" t="s">
        <v>304</v>
      </c>
      <c r="J38" t="s">
        <v>156</v>
      </c>
      <c r="K38" t="s">
        <v>305</v>
      </c>
      <c r="L38" t="s">
        <v>306</v>
      </c>
      <c r="M38">
        <v>2216</v>
      </c>
      <c r="N38">
        <v>11546892.138900001</v>
      </c>
      <c r="O38">
        <v>140926.6219</v>
      </c>
      <c r="Q38">
        <v>36</v>
      </c>
      <c r="R38" t="s">
        <v>304</v>
      </c>
      <c r="S38" t="s">
        <v>156</v>
      </c>
      <c r="T38" t="s">
        <v>305</v>
      </c>
      <c r="U38" t="s">
        <v>306</v>
      </c>
      <c r="V38">
        <v>2216</v>
      </c>
      <c r="W38" t="s">
        <v>416</v>
      </c>
      <c r="X38" t="s">
        <v>417</v>
      </c>
    </row>
    <row r="39" spans="1:24" x14ac:dyDescent="0.25">
      <c r="A39" s="6">
        <v>38</v>
      </c>
      <c r="B39" s="12">
        <v>11546032.929300001</v>
      </c>
      <c r="C39" s="62">
        <v>143566.154599998</v>
      </c>
      <c r="D39" s="12" t="s">
        <v>312</v>
      </c>
      <c r="E39" s="12" t="s">
        <v>313</v>
      </c>
      <c r="F39" s="12">
        <f t="shared" si="0"/>
        <v>103.71978333333334</v>
      </c>
      <c r="G39" s="12">
        <f t="shared" si="1"/>
        <v>1.2895666666666665</v>
      </c>
      <c r="H39">
        <v>37</v>
      </c>
      <c r="I39" t="s">
        <v>304</v>
      </c>
      <c r="J39" t="s">
        <v>418</v>
      </c>
      <c r="K39" t="s">
        <v>419</v>
      </c>
      <c r="L39" t="s">
        <v>311</v>
      </c>
      <c r="M39">
        <v>2221</v>
      </c>
      <c r="N39">
        <v>11546865.680500001</v>
      </c>
      <c r="O39">
        <v>140913.392700002</v>
      </c>
      <c r="Q39">
        <v>37</v>
      </c>
      <c r="R39" t="s">
        <v>304</v>
      </c>
      <c r="S39" t="s">
        <v>418</v>
      </c>
      <c r="T39" t="s">
        <v>419</v>
      </c>
      <c r="U39" t="s">
        <v>311</v>
      </c>
      <c r="V39">
        <v>2221</v>
      </c>
      <c r="W39" t="s">
        <v>420</v>
      </c>
      <c r="X39" t="s">
        <v>421</v>
      </c>
    </row>
    <row r="40" spans="1:24" x14ac:dyDescent="0.25">
      <c r="A40" s="6">
        <v>39</v>
      </c>
      <c r="B40" s="12">
        <v>11546115.6117</v>
      </c>
      <c r="C40" s="62">
        <v>143457.013700001</v>
      </c>
      <c r="D40" s="12" t="s">
        <v>315</v>
      </c>
      <c r="E40" s="12" t="s">
        <v>316</v>
      </c>
      <c r="F40" s="12">
        <f t="shared" si="0"/>
        <v>103.72051666666667</v>
      </c>
      <c r="G40" s="12">
        <f t="shared" si="1"/>
        <v>1.2885833333333334</v>
      </c>
      <c r="H40">
        <v>38</v>
      </c>
      <c r="I40" t="s">
        <v>304</v>
      </c>
      <c r="J40" t="s">
        <v>422</v>
      </c>
      <c r="K40" t="s">
        <v>409</v>
      </c>
      <c r="L40" t="s">
        <v>311</v>
      </c>
      <c r="M40">
        <v>1935</v>
      </c>
      <c r="N40">
        <v>11546617.633099999</v>
      </c>
      <c r="O40">
        <v>141042.377300002</v>
      </c>
      <c r="Q40">
        <v>38</v>
      </c>
      <c r="R40" t="s">
        <v>304</v>
      </c>
      <c r="S40" t="s">
        <v>422</v>
      </c>
      <c r="T40" t="s">
        <v>409</v>
      </c>
      <c r="U40" t="s">
        <v>311</v>
      </c>
      <c r="V40">
        <v>1935</v>
      </c>
      <c r="W40" t="s">
        <v>423</v>
      </c>
      <c r="X40" t="s">
        <v>424</v>
      </c>
    </row>
    <row r="41" spans="1:24" x14ac:dyDescent="0.25">
      <c r="A41" s="6">
        <v>40</v>
      </c>
      <c r="B41" s="12">
        <v>11546155.2993</v>
      </c>
      <c r="C41" s="62">
        <v>143361.10209999999</v>
      </c>
      <c r="D41" s="12" t="s">
        <v>318</v>
      </c>
      <c r="E41" s="12" t="s">
        <v>319</v>
      </c>
      <c r="F41" s="12">
        <f t="shared" si="0"/>
        <v>103.72088333333333</v>
      </c>
      <c r="G41" s="12">
        <f t="shared" si="1"/>
        <v>1.2877333333333334</v>
      </c>
      <c r="H41">
        <v>39</v>
      </c>
      <c r="I41" t="s">
        <v>304</v>
      </c>
      <c r="J41" t="s">
        <v>90</v>
      </c>
      <c r="K41" t="s">
        <v>305</v>
      </c>
      <c r="L41" t="s">
        <v>306</v>
      </c>
      <c r="M41">
        <v>2504</v>
      </c>
      <c r="N41">
        <v>11546624.2477</v>
      </c>
      <c r="O41">
        <v>140648.80880000099</v>
      </c>
      <c r="Q41">
        <v>39</v>
      </c>
      <c r="R41" t="s">
        <v>304</v>
      </c>
      <c r="S41" t="s">
        <v>90</v>
      </c>
      <c r="T41" t="s">
        <v>305</v>
      </c>
      <c r="U41" t="s">
        <v>306</v>
      </c>
      <c r="V41">
        <v>2504</v>
      </c>
      <c r="W41" t="s">
        <v>425</v>
      </c>
      <c r="X41" t="s">
        <v>426</v>
      </c>
    </row>
    <row r="42" spans="1:24" x14ac:dyDescent="0.25">
      <c r="A42" s="6">
        <v>41</v>
      </c>
      <c r="B42" s="12">
        <v>11546155.2993</v>
      </c>
      <c r="C42" s="62">
        <v>143235.42469999901</v>
      </c>
      <c r="D42" s="12" t="s">
        <v>318</v>
      </c>
      <c r="E42" s="12" t="s">
        <v>321</v>
      </c>
      <c r="F42" s="12">
        <f t="shared" si="0"/>
        <v>103.72088333333333</v>
      </c>
      <c r="G42" s="12">
        <f t="shared" si="1"/>
        <v>1.2866</v>
      </c>
      <c r="H42">
        <v>40</v>
      </c>
      <c r="I42" t="s">
        <v>304</v>
      </c>
      <c r="J42" t="s">
        <v>91</v>
      </c>
      <c r="K42" t="s">
        <v>305</v>
      </c>
      <c r="L42" t="s">
        <v>306</v>
      </c>
      <c r="M42">
        <v>2553</v>
      </c>
      <c r="N42">
        <v>11546587.8675</v>
      </c>
      <c r="O42">
        <v>140619.04309999899</v>
      </c>
      <c r="Q42">
        <v>40</v>
      </c>
      <c r="R42" t="s">
        <v>304</v>
      </c>
      <c r="S42" t="s">
        <v>91</v>
      </c>
      <c r="T42" t="s">
        <v>305</v>
      </c>
      <c r="U42" t="s">
        <v>306</v>
      </c>
      <c r="V42">
        <v>2553</v>
      </c>
      <c r="W42" t="s">
        <v>427</v>
      </c>
      <c r="X42" t="s">
        <v>428</v>
      </c>
    </row>
    <row r="43" spans="1:24" x14ac:dyDescent="0.25">
      <c r="A43" s="6">
        <v>42</v>
      </c>
      <c r="B43" s="12">
        <v>11545907.2519</v>
      </c>
      <c r="C43" s="62">
        <v>143642.22239999799</v>
      </c>
      <c r="D43" s="12" t="s">
        <v>307</v>
      </c>
      <c r="E43" s="12" t="s">
        <v>308</v>
      </c>
      <c r="F43" s="12">
        <f t="shared" si="0"/>
        <v>103.71865</v>
      </c>
      <c r="G43" s="12">
        <f t="shared" si="1"/>
        <v>1.2902499999999999</v>
      </c>
      <c r="H43">
        <v>41</v>
      </c>
      <c r="I43" t="s">
        <v>304</v>
      </c>
      <c r="J43" t="s">
        <v>429</v>
      </c>
      <c r="K43" t="s">
        <v>430</v>
      </c>
      <c r="L43" t="s">
        <v>311</v>
      </c>
      <c r="M43">
        <v>1564</v>
      </c>
      <c r="N43">
        <v>11545668.4385</v>
      </c>
      <c r="O43">
        <v>141048.99190000101</v>
      </c>
      <c r="Q43">
        <v>41</v>
      </c>
      <c r="R43" t="s">
        <v>304</v>
      </c>
      <c r="S43" t="s">
        <v>429</v>
      </c>
      <c r="T43" t="s">
        <v>430</v>
      </c>
      <c r="U43" t="s">
        <v>311</v>
      </c>
      <c r="V43">
        <v>1564</v>
      </c>
      <c r="W43" t="s">
        <v>431</v>
      </c>
      <c r="X43" t="s">
        <v>432</v>
      </c>
    </row>
    <row r="44" spans="1:24" x14ac:dyDescent="0.25">
      <c r="A44" s="6">
        <v>43</v>
      </c>
      <c r="B44" s="12">
        <v>11545790.808599999</v>
      </c>
      <c r="C44" s="62">
        <v>143588.99700000099</v>
      </c>
      <c r="D44" s="12" t="s">
        <v>452</v>
      </c>
      <c r="E44" s="12" t="s">
        <v>453</v>
      </c>
      <c r="F44" s="12">
        <f t="shared" si="0"/>
        <v>103.7176</v>
      </c>
      <c r="G44" s="12">
        <f t="shared" si="1"/>
        <v>1.2897666666666667</v>
      </c>
      <c r="H44">
        <v>42</v>
      </c>
      <c r="I44" t="s">
        <v>304</v>
      </c>
      <c r="J44" t="s">
        <v>433</v>
      </c>
      <c r="K44" t="s">
        <v>430</v>
      </c>
      <c r="L44" t="s">
        <v>311</v>
      </c>
      <c r="M44">
        <v>1822</v>
      </c>
      <c r="N44">
        <v>11545552.6831</v>
      </c>
      <c r="O44">
        <v>140834.01749999801</v>
      </c>
      <c r="Q44">
        <v>42</v>
      </c>
      <c r="R44" t="s">
        <v>304</v>
      </c>
      <c r="S44" t="s">
        <v>433</v>
      </c>
      <c r="T44" t="s">
        <v>430</v>
      </c>
      <c r="U44" t="s">
        <v>311</v>
      </c>
      <c r="V44">
        <v>1822</v>
      </c>
      <c r="W44" t="s">
        <v>434</v>
      </c>
      <c r="X44" t="s">
        <v>435</v>
      </c>
    </row>
    <row r="45" spans="1:24" x14ac:dyDescent="0.25">
      <c r="A45" s="6">
        <v>44</v>
      </c>
      <c r="B45" s="12">
        <v>11545334.4014</v>
      </c>
      <c r="C45" s="62">
        <v>143694.83049999899</v>
      </c>
      <c r="D45" s="12" t="s">
        <v>450</v>
      </c>
      <c r="E45" s="12" t="s">
        <v>451</v>
      </c>
      <c r="F45" s="12">
        <f t="shared" si="0"/>
        <v>103.7135</v>
      </c>
      <c r="G45" s="12">
        <f t="shared" si="1"/>
        <v>1.2907166666666667</v>
      </c>
      <c r="H45">
        <v>43</v>
      </c>
      <c r="I45" t="s">
        <v>304</v>
      </c>
      <c r="J45" t="s">
        <v>436</v>
      </c>
      <c r="K45" t="s">
        <v>354</v>
      </c>
      <c r="L45" t="s">
        <v>311</v>
      </c>
      <c r="M45">
        <v>871</v>
      </c>
      <c r="N45">
        <v>11545516.3028</v>
      </c>
      <c r="O45">
        <v>141528.5502</v>
      </c>
      <c r="Q45">
        <v>43</v>
      </c>
      <c r="R45" t="s">
        <v>304</v>
      </c>
      <c r="S45" t="s">
        <v>436</v>
      </c>
      <c r="T45" t="s">
        <v>354</v>
      </c>
      <c r="U45" t="s">
        <v>311</v>
      </c>
      <c r="V45">
        <v>871</v>
      </c>
      <c r="W45" t="s">
        <v>437</v>
      </c>
      <c r="X45" t="s">
        <v>438</v>
      </c>
    </row>
    <row r="46" spans="1:24" x14ac:dyDescent="0.25">
      <c r="A46" s="6">
        <v>45</v>
      </c>
      <c r="B46" s="12">
        <v>11544894.5307</v>
      </c>
      <c r="C46" s="62">
        <v>143744.44000000099</v>
      </c>
      <c r="D46" s="12" t="s">
        <v>445</v>
      </c>
      <c r="E46" s="12" t="s">
        <v>446</v>
      </c>
      <c r="F46" s="12">
        <f t="shared" si="0"/>
        <v>103.70954999999999</v>
      </c>
      <c r="G46" s="12">
        <f t="shared" si="1"/>
        <v>1.2911666666666666</v>
      </c>
      <c r="H46">
        <v>44</v>
      </c>
      <c r="I46" t="s">
        <v>304</v>
      </c>
      <c r="J46" t="s">
        <v>439</v>
      </c>
      <c r="K46" t="s">
        <v>440</v>
      </c>
      <c r="L46" t="s">
        <v>311</v>
      </c>
      <c r="M46">
        <v>1352</v>
      </c>
      <c r="N46">
        <v>11544960.6767</v>
      </c>
      <c r="O46">
        <v>141723.68079999799</v>
      </c>
      <c r="Q46">
        <v>44</v>
      </c>
      <c r="R46" t="s">
        <v>304</v>
      </c>
      <c r="S46" t="s">
        <v>439</v>
      </c>
      <c r="T46" t="s">
        <v>440</v>
      </c>
      <c r="U46" t="s">
        <v>311</v>
      </c>
      <c r="V46">
        <v>1352</v>
      </c>
      <c r="W46" t="s">
        <v>441</v>
      </c>
      <c r="X46" t="s">
        <v>442</v>
      </c>
    </row>
    <row r="47" spans="1:24" x14ac:dyDescent="0.25">
      <c r="A47" s="6">
        <v>46</v>
      </c>
      <c r="B47" s="12">
        <v>11545066.510199999</v>
      </c>
      <c r="C47" s="62">
        <v>143628.68459999899</v>
      </c>
      <c r="D47" s="12" t="s">
        <v>448</v>
      </c>
      <c r="E47" s="12" t="s">
        <v>449</v>
      </c>
      <c r="F47" s="12">
        <f t="shared" si="0"/>
        <v>103.7111</v>
      </c>
      <c r="G47" s="12">
        <f t="shared" si="1"/>
        <v>1.2901333333333334</v>
      </c>
      <c r="H47">
        <v>45</v>
      </c>
      <c r="I47" t="s">
        <v>304</v>
      </c>
      <c r="J47" t="s">
        <v>443</v>
      </c>
      <c r="K47" t="s">
        <v>444</v>
      </c>
      <c r="L47" t="s">
        <v>311</v>
      </c>
      <c r="M47">
        <v>1731</v>
      </c>
      <c r="N47">
        <v>11544894.5307</v>
      </c>
      <c r="O47">
        <v>143744.44000000099</v>
      </c>
      <c r="Q47">
        <v>45</v>
      </c>
      <c r="R47" t="s">
        <v>304</v>
      </c>
      <c r="S47" t="s">
        <v>443</v>
      </c>
      <c r="T47" t="s">
        <v>444</v>
      </c>
      <c r="U47" t="s">
        <v>311</v>
      </c>
      <c r="V47">
        <v>1731</v>
      </c>
      <c r="W47" t="s">
        <v>445</v>
      </c>
      <c r="X47" t="s">
        <v>446</v>
      </c>
    </row>
    <row r="48" spans="1:24" x14ac:dyDescent="0.25">
      <c r="A48" s="6">
        <v>47</v>
      </c>
      <c r="B48" s="12">
        <v>11546393.424799999</v>
      </c>
      <c r="C48" s="62">
        <v>141955.500300001</v>
      </c>
      <c r="D48" s="12" t="s">
        <v>365</v>
      </c>
      <c r="E48" s="12" t="s">
        <v>366</v>
      </c>
      <c r="F48" s="12">
        <f t="shared" si="0"/>
        <v>103.72301666666667</v>
      </c>
      <c r="G48" s="12">
        <f t="shared" si="1"/>
        <v>1.2751000000000001</v>
      </c>
      <c r="H48">
        <v>46</v>
      </c>
      <c r="I48" t="s">
        <v>304</v>
      </c>
      <c r="J48" t="s">
        <v>447</v>
      </c>
      <c r="K48" t="s">
        <v>444</v>
      </c>
      <c r="L48" t="s">
        <v>311</v>
      </c>
      <c r="M48">
        <v>1527</v>
      </c>
      <c r="N48">
        <v>11545066.510199999</v>
      </c>
      <c r="O48">
        <v>143628.68459999899</v>
      </c>
      <c r="Q48">
        <v>46</v>
      </c>
      <c r="R48" t="s">
        <v>304</v>
      </c>
      <c r="S48" t="s">
        <v>447</v>
      </c>
      <c r="T48" t="s">
        <v>444</v>
      </c>
      <c r="U48" t="s">
        <v>311</v>
      </c>
      <c r="V48">
        <v>1527</v>
      </c>
      <c r="W48" t="s">
        <v>448</v>
      </c>
      <c r="X48" t="s">
        <v>449</v>
      </c>
    </row>
    <row r="49" spans="1:24" x14ac:dyDescent="0.25">
      <c r="A49" s="6">
        <v>48</v>
      </c>
      <c r="B49" s="12">
        <v>11546307.435000001</v>
      </c>
      <c r="C49" s="62">
        <v>142048.10469999901</v>
      </c>
      <c r="D49" s="12" t="s">
        <v>367</v>
      </c>
      <c r="E49" s="12" t="s">
        <v>368</v>
      </c>
      <c r="F49" s="12">
        <f t="shared" si="0"/>
        <v>103.72225</v>
      </c>
      <c r="G49" s="12">
        <f t="shared" si="1"/>
        <v>1.2759333333333334</v>
      </c>
      <c r="H49">
        <v>47</v>
      </c>
      <c r="I49" t="s">
        <v>304</v>
      </c>
      <c r="J49" t="s">
        <v>219</v>
      </c>
      <c r="K49" t="s">
        <v>396</v>
      </c>
      <c r="L49" t="s">
        <v>306</v>
      </c>
      <c r="M49">
        <v>1185</v>
      </c>
      <c r="N49">
        <v>11545334.4014</v>
      </c>
      <c r="O49">
        <v>143694.83049999899</v>
      </c>
      <c r="Q49">
        <v>47</v>
      </c>
      <c r="R49" t="s">
        <v>304</v>
      </c>
      <c r="S49" t="s">
        <v>219</v>
      </c>
      <c r="T49" t="s">
        <v>396</v>
      </c>
      <c r="U49" t="s">
        <v>306</v>
      </c>
      <c r="V49">
        <v>1185</v>
      </c>
      <c r="W49" t="s">
        <v>450</v>
      </c>
      <c r="X49" t="s">
        <v>451</v>
      </c>
    </row>
    <row r="50" spans="1:24" x14ac:dyDescent="0.25">
      <c r="A50" s="6">
        <v>49</v>
      </c>
      <c r="B50" s="12">
        <v>11546261.1328</v>
      </c>
      <c r="C50" s="62">
        <v>142097.71410000001</v>
      </c>
      <c r="D50" s="12" t="s">
        <v>371</v>
      </c>
      <c r="E50" s="12" t="s">
        <v>372</v>
      </c>
      <c r="F50" s="12">
        <f t="shared" si="0"/>
        <v>103.72183333333334</v>
      </c>
      <c r="G50" s="12">
        <f t="shared" si="1"/>
        <v>1.2763833333333334</v>
      </c>
      <c r="H50">
        <v>48</v>
      </c>
      <c r="I50" t="s">
        <v>304</v>
      </c>
      <c r="J50" t="s">
        <v>195</v>
      </c>
      <c r="K50" t="s">
        <v>305</v>
      </c>
      <c r="L50" t="s">
        <v>306</v>
      </c>
      <c r="M50">
        <v>711</v>
      </c>
      <c r="N50">
        <v>11545790.808599999</v>
      </c>
      <c r="O50">
        <v>143588.99700000099</v>
      </c>
      <c r="Q50">
        <v>48</v>
      </c>
      <c r="R50" t="s">
        <v>304</v>
      </c>
      <c r="S50" t="s">
        <v>195</v>
      </c>
      <c r="T50" t="s">
        <v>305</v>
      </c>
      <c r="U50" t="s">
        <v>306</v>
      </c>
      <c r="V50">
        <v>711</v>
      </c>
      <c r="W50" t="s">
        <v>452</v>
      </c>
      <c r="X50" t="s">
        <v>453</v>
      </c>
    </row>
    <row r="51" spans="1:24" x14ac:dyDescent="0.25">
      <c r="A51" s="6">
        <v>50</v>
      </c>
      <c r="B51" s="12">
        <v>11546168.5285</v>
      </c>
      <c r="C51" s="62">
        <v>142183.70389999801</v>
      </c>
      <c r="D51" s="12" t="s">
        <v>373</v>
      </c>
      <c r="E51" s="12" t="s">
        <v>374</v>
      </c>
      <c r="F51" s="12">
        <f t="shared" si="0"/>
        <v>103.721</v>
      </c>
      <c r="G51" s="12">
        <f t="shared" si="1"/>
        <v>1.27715</v>
      </c>
      <c r="H51">
        <v>49</v>
      </c>
      <c r="I51" t="s">
        <v>304</v>
      </c>
      <c r="J51" t="s">
        <v>454</v>
      </c>
      <c r="K51" t="s">
        <v>310</v>
      </c>
      <c r="L51" t="s">
        <v>311</v>
      </c>
      <c r="M51">
        <v>391</v>
      </c>
      <c r="N51">
        <v>11546025.626700001</v>
      </c>
      <c r="O51">
        <v>143443.475900002</v>
      </c>
      <c r="Q51">
        <v>49</v>
      </c>
      <c r="R51" t="s">
        <v>304</v>
      </c>
      <c r="S51" t="s">
        <v>454</v>
      </c>
      <c r="T51" t="s">
        <v>310</v>
      </c>
      <c r="U51" t="s">
        <v>311</v>
      </c>
      <c r="V51">
        <v>391</v>
      </c>
      <c r="W51" t="s">
        <v>455</v>
      </c>
      <c r="X51" t="s">
        <v>456</v>
      </c>
    </row>
    <row r="52" spans="1:24" x14ac:dyDescent="0.25">
      <c r="A52" s="6">
        <v>51</v>
      </c>
      <c r="B52" s="12">
        <v>11545937.0176</v>
      </c>
      <c r="C52" s="62">
        <v>142418.52210000201</v>
      </c>
      <c r="D52" s="12" t="s">
        <v>397</v>
      </c>
      <c r="E52" s="12" t="s">
        <v>398</v>
      </c>
      <c r="F52" s="12">
        <f t="shared" si="0"/>
        <v>103.71891666666667</v>
      </c>
      <c r="G52" s="12">
        <f t="shared" si="1"/>
        <v>1.2792666666666666</v>
      </c>
      <c r="H52">
        <v>50</v>
      </c>
      <c r="I52" t="s">
        <v>304</v>
      </c>
      <c r="J52" t="s">
        <v>150</v>
      </c>
      <c r="K52" t="s">
        <v>396</v>
      </c>
      <c r="L52" t="s">
        <v>306</v>
      </c>
      <c r="M52">
        <v>181</v>
      </c>
      <c r="N52">
        <v>11546095.08</v>
      </c>
      <c r="O52">
        <v>143258.26720000099</v>
      </c>
      <c r="Q52">
        <v>50</v>
      </c>
      <c r="R52" t="s">
        <v>304</v>
      </c>
      <c r="S52" t="s">
        <v>150</v>
      </c>
      <c r="T52" t="s">
        <v>396</v>
      </c>
      <c r="U52" t="s">
        <v>306</v>
      </c>
      <c r="V52">
        <v>181</v>
      </c>
      <c r="W52" t="s">
        <v>457</v>
      </c>
      <c r="X52" t="s">
        <v>458</v>
      </c>
    </row>
    <row r="53" spans="1:24" x14ac:dyDescent="0.25">
      <c r="A53" s="6">
        <v>52</v>
      </c>
      <c r="B53" s="12">
        <v>11545973.3979</v>
      </c>
      <c r="C53" s="62">
        <v>142464.82420000099</v>
      </c>
      <c r="D53" s="12" t="s">
        <v>334</v>
      </c>
      <c r="E53" s="12" t="s">
        <v>335</v>
      </c>
      <c r="F53" s="12">
        <f t="shared" si="0"/>
        <v>103.71925</v>
      </c>
      <c r="G53" s="12">
        <f t="shared" si="1"/>
        <v>1.2796833333333333</v>
      </c>
      <c r="H53">
        <v>51</v>
      </c>
      <c r="I53" t="s">
        <v>304</v>
      </c>
      <c r="J53" t="s">
        <v>459</v>
      </c>
      <c r="K53" t="s">
        <v>460</v>
      </c>
      <c r="L53" t="s">
        <v>311</v>
      </c>
      <c r="M53">
        <v>135</v>
      </c>
      <c r="N53">
        <v>11546065.314300001</v>
      </c>
      <c r="O53">
        <v>143069.75120000201</v>
      </c>
      <c r="Q53">
        <v>51</v>
      </c>
      <c r="R53" t="s">
        <v>304</v>
      </c>
      <c r="S53" t="s">
        <v>459</v>
      </c>
      <c r="T53" t="s">
        <v>460</v>
      </c>
      <c r="U53" t="s">
        <v>311</v>
      </c>
      <c r="V53">
        <v>135</v>
      </c>
      <c r="W53" t="s">
        <v>461</v>
      </c>
      <c r="X53" t="s">
        <v>462</v>
      </c>
    </row>
    <row r="54" spans="1:24" x14ac:dyDescent="0.25">
      <c r="A54" s="6">
        <v>53</v>
      </c>
      <c r="B54" s="12">
        <v>11546280.976600001</v>
      </c>
      <c r="C54" s="62">
        <v>141747.14050000199</v>
      </c>
      <c r="D54" s="12" t="s">
        <v>377</v>
      </c>
      <c r="E54" s="12" t="s">
        <v>378</v>
      </c>
      <c r="F54" s="12">
        <f t="shared" si="0"/>
        <v>103.72199999999999</v>
      </c>
      <c r="G54" s="12">
        <f t="shared" si="1"/>
        <v>1.2732333333333332</v>
      </c>
      <c r="H54">
        <v>52</v>
      </c>
      <c r="I54" t="s">
        <v>304</v>
      </c>
      <c r="J54" t="s">
        <v>126</v>
      </c>
      <c r="K54" t="s">
        <v>396</v>
      </c>
      <c r="L54" t="s">
        <v>306</v>
      </c>
      <c r="M54">
        <v>406</v>
      </c>
      <c r="N54">
        <v>11546002.4757</v>
      </c>
      <c r="O54">
        <v>142811.7819</v>
      </c>
      <c r="Q54">
        <v>52</v>
      </c>
      <c r="R54" t="s">
        <v>304</v>
      </c>
      <c r="S54" t="s">
        <v>126</v>
      </c>
      <c r="T54" t="s">
        <v>396</v>
      </c>
      <c r="U54" t="s">
        <v>306</v>
      </c>
      <c r="V54">
        <v>406</v>
      </c>
      <c r="W54" t="s">
        <v>463</v>
      </c>
      <c r="X54" t="s">
        <v>464</v>
      </c>
    </row>
    <row r="55" spans="1:24" x14ac:dyDescent="0.25">
      <c r="A55" s="6">
        <v>54</v>
      </c>
      <c r="B55" s="12">
        <v>11546208.2161</v>
      </c>
      <c r="C55" s="62">
        <v>141671.07270000101</v>
      </c>
      <c r="D55" s="12" t="s">
        <v>380</v>
      </c>
      <c r="E55" s="12" t="s">
        <v>381</v>
      </c>
      <c r="F55" s="12">
        <f t="shared" si="0"/>
        <v>103.72135</v>
      </c>
      <c r="G55" s="12">
        <f t="shared" si="1"/>
        <v>1.2725500000000001</v>
      </c>
      <c r="H55">
        <v>53</v>
      </c>
      <c r="I55" t="s">
        <v>304</v>
      </c>
      <c r="J55" t="s">
        <v>465</v>
      </c>
      <c r="K55" t="s">
        <v>466</v>
      </c>
      <c r="L55" t="s">
        <v>311</v>
      </c>
      <c r="M55">
        <v>527</v>
      </c>
      <c r="N55">
        <v>11545688.282299999</v>
      </c>
      <c r="O55">
        <v>142418.21339999899</v>
      </c>
      <c r="Q55">
        <v>53</v>
      </c>
      <c r="R55" t="s">
        <v>304</v>
      </c>
      <c r="S55" t="s">
        <v>465</v>
      </c>
      <c r="T55" t="s">
        <v>466</v>
      </c>
      <c r="U55" t="s">
        <v>311</v>
      </c>
      <c r="V55">
        <v>527</v>
      </c>
      <c r="W55" t="s">
        <v>467</v>
      </c>
      <c r="X55" t="s">
        <v>468</v>
      </c>
    </row>
    <row r="56" spans="1:24" x14ac:dyDescent="0.25">
      <c r="A56" s="6">
        <v>55</v>
      </c>
      <c r="B56" s="12">
        <v>11546151.992000001</v>
      </c>
      <c r="C56" s="62">
        <v>141608.23400000099</v>
      </c>
      <c r="D56" s="12" t="s">
        <v>382</v>
      </c>
      <c r="E56" s="12" t="s">
        <v>383</v>
      </c>
      <c r="F56" s="12">
        <f t="shared" si="0"/>
        <v>103.72085</v>
      </c>
      <c r="G56" s="12">
        <f t="shared" si="1"/>
        <v>1.2719833333333332</v>
      </c>
      <c r="H56">
        <v>54</v>
      </c>
      <c r="I56" t="s">
        <v>304</v>
      </c>
      <c r="J56" t="s">
        <v>73</v>
      </c>
      <c r="K56" t="s">
        <v>396</v>
      </c>
      <c r="L56" t="s">
        <v>306</v>
      </c>
      <c r="M56">
        <v>234</v>
      </c>
      <c r="N56">
        <v>11545450.1568</v>
      </c>
      <c r="O56">
        <v>142295.84340000199</v>
      </c>
      <c r="Q56">
        <v>54</v>
      </c>
      <c r="R56" t="s">
        <v>304</v>
      </c>
      <c r="S56" t="s">
        <v>73</v>
      </c>
      <c r="T56" t="s">
        <v>396</v>
      </c>
      <c r="U56" t="s">
        <v>306</v>
      </c>
      <c r="V56">
        <v>234</v>
      </c>
      <c r="W56" t="s">
        <v>469</v>
      </c>
      <c r="X56" t="s">
        <v>470</v>
      </c>
    </row>
    <row r="57" spans="1:24" x14ac:dyDescent="0.25">
      <c r="A57" s="6">
        <v>56</v>
      </c>
      <c r="B57" s="12">
        <v>11546059.387599999</v>
      </c>
      <c r="C57" s="62">
        <v>141509.015000001</v>
      </c>
      <c r="D57" s="12" t="s">
        <v>384</v>
      </c>
      <c r="E57" s="12" t="s">
        <v>385</v>
      </c>
      <c r="F57" s="12">
        <f t="shared" si="0"/>
        <v>103.72001666666667</v>
      </c>
      <c r="G57" s="12">
        <f t="shared" si="1"/>
        <v>1.2710999999999999</v>
      </c>
      <c r="H57">
        <v>55</v>
      </c>
      <c r="I57" t="s">
        <v>304</v>
      </c>
      <c r="J57" t="s">
        <v>471</v>
      </c>
      <c r="K57" t="s">
        <v>472</v>
      </c>
      <c r="L57" t="s">
        <v>311</v>
      </c>
      <c r="M57">
        <v>83</v>
      </c>
      <c r="N57">
        <v>11545261.640799999</v>
      </c>
      <c r="O57">
        <v>142216.46819999799</v>
      </c>
      <c r="Q57">
        <v>55</v>
      </c>
      <c r="R57" t="s">
        <v>304</v>
      </c>
      <c r="S57" t="s">
        <v>471</v>
      </c>
      <c r="T57" t="s">
        <v>472</v>
      </c>
      <c r="U57" t="s">
        <v>311</v>
      </c>
      <c r="V57">
        <v>83</v>
      </c>
      <c r="W57" t="s">
        <v>473</v>
      </c>
      <c r="X57" t="s">
        <v>474</v>
      </c>
    </row>
    <row r="58" spans="1:24" x14ac:dyDescent="0.25">
      <c r="A58" s="6">
        <v>57</v>
      </c>
      <c r="B58" s="12">
        <v>11546105.6898</v>
      </c>
      <c r="C58" s="62">
        <v>141459.4056</v>
      </c>
      <c r="D58" s="12" t="s">
        <v>361</v>
      </c>
      <c r="E58" s="12" t="s">
        <v>362</v>
      </c>
      <c r="F58" s="12">
        <f t="shared" si="0"/>
        <v>103.72043333333333</v>
      </c>
      <c r="G58" s="12">
        <f t="shared" si="1"/>
        <v>1.2706500000000001</v>
      </c>
      <c r="H58">
        <v>56</v>
      </c>
      <c r="I58" t="s">
        <v>304</v>
      </c>
      <c r="J58" t="s">
        <v>475</v>
      </c>
      <c r="K58" t="s">
        <v>476</v>
      </c>
      <c r="L58" t="s">
        <v>311</v>
      </c>
      <c r="M58">
        <v>370</v>
      </c>
      <c r="N58">
        <v>11545145.885399999</v>
      </c>
      <c r="O58">
        <v>142378.52580000099</v>
      </c>
      <c r="Q58">
        <v>56</v>
      </c>
      <c r="R58" t="s">
        <v>304</v>
      </c>
      <c r="S58" t="s">
        <v>475</v>
      </c>
      <c r="T58" t="s">
        <v>476</v>
      </c>
      <c r="U58" t="s">
        <v>311</v>
      </c>
      <c r="V58">
        <v>370</v>
      </c>
      <c r="W58" t="s">
        <v>477</v>
      </c>
      <c r="X58" t="s">
        <v>478</v>
      </c>
    </row>
    <row r="59" spans="1:24" x14ac:dyDescent="0.25">
      <c r="A59" s="6">
        <v>58</v>
      </c>
      <c r="B59" s="12">
        <v>11546459.570699999</v>
      </c>
      <c r="C59" s="62">
        <v>141452.79100000099</v>
      </c>
      <c r="D59" s="12" t="s">
        <v>357</v>
      </c>
      <c r="E59" s="12" t="s">
        <v>358</v>
      </c>
      <c r="F59" s="12">
        <f t="shared" si="0"/>
        <v>103.72361666666667</v>
      </c>
      <c r="G59" s="12">
        <f t="shared" si="1"/>
        <v>1.2705833333333334</v>
      </c>
      <c r="H59">
        <v>57</v>
      </c>
      <c r="I59" t="s">
        <v>304</v>
      </c>
      <c r="J59" t="s">
        <v>66</v>
      </c>
      <c r="K59" t="s">
        <v>305</v>
      </c>
      <c r="L59" t="s">
        <v>306</v>
      </c>
      <c r="M59">
        <v>278</v>
      </c>
      <c r="N59">
        <v>11545092.968599999</v>
      </c>
      <c r="O59">
        <v>142156.93679999901</v>
      </c>
      <c r="Q59">
        <v>57</v>
      </c>
      <c r="R59" t="s">
        <v>304</v>
      </c>
      <c r="S59" t="s">
        <v>66</v>
      </c>
      <c r="T59" t="s">
        <v>305</v>
      </c>
      <c r="U59" t="s">
        <v>306</v>
      </c>
      <c r="V59">
        <v>278</v>
      </c>
      <c r="W59" t="s">
        <v>479</v>
      </c>
      <c r="X59" t="s">
        <v>480</v>
      </c>
    </row>
    <row r="60" spans="1:24" x14ac:dyDescent="0.25">
      <c r="A60" s="6">
        <v>59</v>
      </c>
      <c r="B60" s="12">
        <v>11546502.5656</v>
      </c>
      <c r="C60" s="62">
        <v>141852.97410000101</v>
      </c>
      <c r="D60" s="12" t="s">
        <v>355</v>
      </c>
      <c r="E60" s="12" t="s">
        <v>356</v>
      </c>
      <c r="F60" s="12">
        <f t="shared" si="0"/>
        <v>103.724</v>
      </c>
      <c r="G60" s="12">
        <f t="shared" si="1"/>
        <v>1.2741833333333332</v>
      </c>
      <c r="H60">
        <v>58</v>
      </c>
      <c r="I60" t="s">
        <v>304</v>
      </c>
      <c r="J60" t="s">
        <v>481</v>
      </c>
      <c r="K60" t="s">
        <v>71</v>
      </c>
      <c r="L60" t="s">
        <v>311</v>
      </c>
      <c r="M60">
        <v>186</v>
      </c>
      <c r="N60">
        <v>11545331.094107499</v>
      </c>
      <c r="O60">
        <v>142074.25436994599</v>
      </c>
      <c r="Q60">
        <v>58</v>
      </c>
      <c r="R60" t="s">
        <v>304</v>
      </c>
      <c r="S60" t="s">
        <v>481</v>
      </c>
      <c r="T60" t="s">
        <v>71</v>
      </c>
      <c r="U60" t="s">
        <v>311</v>
      </c>
      <c r="V60">
        <v>186</v>
      </c>
      <c r="W60" t="s">
        <v>482</v>
      </c>
      <c r="X60" t="s">
        <v>483</v>
      </c>
    </row>
    <row r="61" spans="1:24" x14ac:dyDescent="0.25">
      <c r="A61" s="6">
        <v>60</v>
      </c>
      <c r="B61" s="12">
        <v>11547177.2545</v>
      </c>
      <c r="C61" s="62">
        <v>142107.636</v>
      </c>
      <c r="D61" s="12" t="s">
        <v>349</v>
      </c>
      <c r="E61" s="12" t="s">
        <v>350</v>
      </c>
      <c r="F61" s="12">
        <f t="shared" si="0"/>
        <v>103.73005000000001</v>
      </c>
      <c r="G61" s="12">
        <f t="shared" si="1"/>
        <v>1.2764666666666666</v>
      </c>
      <c r="H61">
        <v>59</v>
      </c>
      <c r="I61" t="s">
        <v>304</v>
      </c>
      <c r="J61" t="s">
        <v>65</v>
      </c>
      <c r="K61" t="s">
        <v>305</v>
      </c>
      <c r="L61" t="s">
        <v>306</v>
      </c>
      <c r="M61">
        <v>222</v>
      </c>
      <c r="N61">
        <v>11545175.651088299</v>
      </c>
      <c r="O61">
        <v>142087.483563071</v>
      </c>
      <c r="Q61">
        <v>59</v>
      </c>
      <c r="R61" t="s">
        <v>304</v>
      </c>
      <c r="S61" t="s">
        <v>65</v>
      </c>
      <c r="T61" t="s">
        <v>305</v>
      </c>
      <c r="U61" t="s">
        <v>306</v>
      </c>
      <c r="V61">
        <v>222</v>
      </c>
      <c r="W61" t="s">
        <v>484</v>
      </c>
      <c r="X61" t="s">
        <v>485</v>
      </c>
    </row>
    <row r="62" spans="1:24" x14ac:dyDescent="0.25">
      <c r="A62" s="6">
        <v>61</v>
      </c>
      <c r="B62" s="12">
        <v>11547696.500299999</v>
      </c>
      <c r="C62" s="62">
        <v>141647.92159999901</v>
      </c>
      <c r="D62" s="12" t="s">
        <v>351</v>
      </c>
      <c r="E62" s="12" t="s">
        <v>352</v>
      </c>
      <c r="F62" s="12">
        <f t="shared" si="0"/>
        <v>103.73471666666667</v>
      </c>
      <c r="G62" s="12">
        <f t="shared" si="1"/>
        <v>1.2723333333333333</v>
      </c>
      <c r="H62">
        <v>60</v>
      </c>
      <c r="I62" t="s">
        <v>304</v>
      </c>
      <c r="J62" t="s">
        <v>486</v>
      </c>
      <c r="K62" t="s">
        <v>68</v>
      </c>
      <c r="L62" t="s">
        <v>311</v>
      </c>
      <c r="M62">
        <v>370</v>
      </c>
      <c r="N62">
        <v>11545053.281099999</v>
      </c>
      <c r="O62">
        <v>142027.95219999901</v>
      </c>
      <c r="Q62">
        <v>60</v>
      </c>
      <c r="R62" t="s">
        <v>304</v>
      </c>
      <c r="S62" t="s">
        <v>486</v>
      </c>
      <c r="T62" t="s">
        <v>68</v>
      </c>
      <c r="U62" t="s">
        <v>311</v>
      </c>
      <c r="V62">
        <v>370</v>
      </c>
      <c r="W62" t="s">
        <v>487</v>
      </c>
      <c r="X62" t="s">
        <v>488</v>
      </c>
    </row>
    <row r="63" spans="1:24" x14ac:dyDescent="0.25">
      <c r="A63" s="6">
        <v>62</v>
      </c>
      <c r="B63" s="12">
        <v>11546929.2071</v>
      </c>
      <c r="C63" s="62">
        <v>142554.12130000099</v>
      </c>
      <c r="D63" s="12" t="s">
        <v>339</v>
      </c>
      <c r="E63" s="12" t="s">
        <v>340</v>
      </c>
      <c r="F63" s="12">
        <f t="shared" si="0"/>
        <v>103.72783333333334</v>
      </c>
      <c r="G63" s="12">
        <f t="shared" si="1"/>
        <v>1.2804833333333334</v>
      </c>
      <c r="H63">
        <v>61</v>
      </c>
      <c r="I63" t="s">
        <v>304</v>
      </c>
      <c r="J63" t="s">
        <v>67</v>
      </c>
      <c r="K63" t="s">
        <v>396</v>
      </c>
      <c r="L63" t="s">
        <v>306</v>
      </c>
      <c r="M63">
        <v>571</v>
      </c>
      <c r="N63">
        <v>11544924.296399999</v>
      </c>
      <c r="O63">
        <v>141918.81140000001</v>
      </c>
      <c r="Q63">
        <v>61</v>
      </c>
      <c r="R63" t="s">
        <v>304</v>
      </c>
      <c r="S63" t="s">
        <v>67</v>
      </c>
      <c r="T63" t="s">
        <v>396</v>
      </c>
      <c r="U63" t="s">
        <v>306</v>
      </c>
      <c r="V63">
        <v>571</v>
      </c>
      <c r="W63" t="s">
        <v>489</v>
      </c>
      <c r="X63" t="s">
        <v>490</v>
      </c>
    </row>
    <row r="64" spans="1:24" x14ac:dyDescent="0.25">
      <c r="A64" s="6">
        <v>63</v>
      </c>
      <c r="B64" s="12">
        <v>11547097.8793</v>
      </c>
      <c r="C64" s="62">
        <v>142388.75640000001</v>
      </c>
      <c r="D64" s="12" t="s">
        <v>342</v>
      </c>
      <c r="E64" s="12" t="s">
        <v>343</v>
      </c>
      <c r="F64" s="12">
        <f t="shared" si="0"/>
        <v>103.72935</v>
      </c>
      <c r="G64" s="12">
        <f t="shared" si="1"/>
        <v>1.2789999999999999</v>
      </c>
      <c r="H64">
        <v>62</v>
      </c>
      <c r="I64" t="s">
        <v>304</v>
      </c>
      <c r="J64" t="s">
        <v>197</v>
      </c>
      <c r="K64" t="s">
        <v>305</v>
      </c>
      <c r="L64" t="s">
        <v>306</v>
      </c>
      <c r="M64">
        <v>729</v>
      </c>
      <c r="N64">
        <v>11544788.6972</v>
      </c>
      <c r="O64">
        <v>141363.185199998</v>
      </c>
      <c r="Q64">
        <v>62</v>
      </c>
      <c r="R64" t="s">
        <v>304</v>
      </c>
      <c r="S64" t="s">
        <v>197</v>
      </c>
      <c r="T64" t="s">
        <v>305</v>
      </c>
      <c r="U64" t="s">
        <v>306</v>
      </c>
      <c r="V64">
        <v>729</v>
      </c>
      <c r="W64" t="s">
        <v>491</v>
      </c>
      <c r="X64" t="s">
        <v>492</v>
      </c>
    </row>
    <row r="65" spans="1:24" x14ac:dyDescent="0.25">
      <c r="A65" s="6">
        <v>64</v>
      </c>
      <c r="B65" s="12">
        <v>11547362.463199999</v>
      </c>
      <c r="C65" s="62">
        <v>142335.839600001</v>
      </c>
      <c r="D65" s="12" t="s">
        <v>345</v>
      </c>
      <c r="E65" s="12" t="s">
        <v>346</v>
      </c>
      <c r="F65" s="12">
        <f t="shared" si="0"/>
        <v>103.73171666666667</v>
      </c>
      <c r="G65" s="12">
        <f t="shared" si="1"/>
        <v>1.2785166666666665</v>
      </c>
      <c r="H65">
        <v>63</v>
      </c>
      <c r="I65" t="s">
        <v>304</v>
      </c>
      <c r="J65" t="s">
        <v>493</v>
      </c>
      <c r="K65" t="s">
        <v>494</v>
      </c>
      <c r="L65" t="s">
        <v>311</v>
      </c>
      <c r="M65">
        <v>533</v>
      </c>
      <c r="N65">
        <v>11544610.1031</v>
      </c>
      <c r="O65">
        <v>141287.117400002</v>
      </c>
      <c r="Q65">
        <v>63</v>
      </c>
      <c r="R65" t="s">
        <v>304</v>
      </c>
      <c r="S65" t="s">
        <v>493</v>
      </c>
      <c r="T65" t="s">
        <v>494</v>
      </c>
      <c r="U65" t="s">
        <v>311</v>
      </c>
      <c r="V65">
        <v>533</v>
      </c>
      <c r="W65" t="s">
        <v>495</v>
      </c>
      <c r="X65" t="s">
        <v>496</v>
      </c>
    </row>
    <row r="66" spans="1:24" x14ac:dyDescent="0.25">
      <c r="A66" s="6">
        <v>65</v>
      </c>
      <c r="B66" s="12">
        <v>11546820.066299999</v>
      </c>
      <c r="C66" s="62">
        <v>142663.26209999999</v>
      </c>
      <c r="D66" s="12" t="s">
        <v>337</v>
      </c>
      <c r="E66" s="12" t="s">
        <v>338</v>
      </c>
      <c r="F66" s="12">
        <f t="shared" si="0"/>
        <v>103.72685</v>
      </c>
      <c r="G66" s="12">
        <f t="shared" si="1"/>
        <v>1.2814666666666668</v>
      </c>
      <c r="H66">
        <v>64</v>
      </c>
      <c r="I66" t="s">
        <v>304</v>
      </c>
      <c r="J66" t="s">
        <v>497</v>
      </c>
      <c r="K66" t="s">
        <v>498</v>
      </c>
      <c r="L66" t="s">
        <v>311</v>
      </c>
      <c r="M66">
        <v>222</v>
      </c>
      <c r="N66">
        <v>11544315.7535</v>
      </c>
      <c r="O66">
        <v>141065.52840000001</v>
      </c>
      <c r="Q66">
        <v>64</v>
      </c>
      <c r="R66" t="s">
        <v>304</v>
      </c>
      <c r="S66" t="s">
        <v>497</v>
      </c>
      <c r="T66" t="s">
        <v>498</v>
      </c>
      <c r="U66" t="s">
        <v>311</v>
      </c>
      <c r="V66">
        <v>222</v>
      </c>
      <c r="W66" t="s">
        <v>499</v>
      </c>
      <c r="X66" t="s">
        <v>500</v>
      </c>
    </row>
    <row r="67" spans="1:24" x14ac:dyDescent="0.25">
      <c r="A67" s="6">
        <v>66</v>
      </c>
      <c r="B67" s="12">
        <v>11545261.640799999</v>
      </c>
      <c r="C67" s="62">
        <v>142216.46819999799</v>
      </c>
      <c r="D67" s="12" t="s">
        <v>473</v>
      </c>
      <c r="E67" s="12" t="s">
        <v>474</v>
      </c>
      <c r="F67" s="12">
        <f t="shared" ref="F67:F130" si="2">103+MID(D67,6,6)/60</f>
        <v>103.71285</v>
      </c>
      <c r="G67" s="12">
        <f t="shared" ref="G67:G130" si="3">1+MID(E67,4,6)/60</f>
        <v>1.27745</v>
      </c>
      <c r="H67">
        <v>65</v>
      </c>
      <c r="I67" t="s">
        <v>304</v>
      </c>
      <c r="J67" t="s">
        <v>501</v>
      </c>
      <c r="K67" t="s">
        <v>502</v>
      </c>
      <c r="L67" t="s">
        <v>311</v>
      </c>
      <c r="M67">
        <v>491</v>
      </c>
      <c r="N67">
        <v>11544244.713300001</v>
      </c>
      <c r="O67">
        <v>140790.13980000099</v>
      </c>
      <c r="Q67">
        <v>65</v>
      </c>
      <c r="R67" t="s">
        <v>304</v>
      </c>
      <c r="S67" t="s">
        <v>501</v>
      </c>
      <c r="T67" t="s">
        <v>502</v>
      </c>
      <c r="U67" t="s">
        <v>311</v>
      </c>
      <c r="V67">
        <v>491</v>
      </c>
      <c r="W67" t="s">
        <v>503</v>
      </c>
      <c r="X67" t="s">
        <v>504</v>
      </c>
    </row>
    <row r="68" spans="1:24" x14ac:dyDescent="0.25">
      <c r="A68" s="6">
        <v>67</v>
      </c>
      <c r="B68" s="12">
        <v>11545145.885399999</v>
      </c>
      <c r="C68" s="62">
        <v>142378.52580000099</v>
      </c>
      <c r="D68" s="12" t="s">
        <v>477</v>
      </c>
      <c r="E68" s="12" t="s">
        <v>478</v>
      </c>
      <c r="F68" s="12">
        <f t="shared" si="2"/>
        <v>103.71181666666666</v>
      </c>
      <c r="G68" s="12">
        <f t="shared" si="3"/>
        <v>1.2789000000000001</v>
      </c>
      <c r="H68">
        <v>66</v>
      </c>
      <c r="I68" t="s">
        <v>304</v>
      </c>
      <c r="J68" t="s">
        <v>505</v>
      </c>
      <c r="K68" t="s">
        <v>506</v>
      </c>
      <c r="L68" t="s">
        <v>311</v>
      </c>
      <c r="M68">
        <v>470</v>
      </c>
      <c r="N68">
        <v>11544155.416300001</v>
      </c>
      <c r="O68">
        <v>140674.38439999899</v>
      </c>
      <c r="Q68">
        <v>66</v>
      </c>
      <c r="R68" t="s">
        <v>304</v>
      </c>
      <c r="S68" t="s">
        <v>505</v>
      </c>
      <c r="T68" t="s">
        <v>506</v>
      </c>
      <c r="U68" t="s">
        <v>311</v>
      </c>
      <c r="V68">
        <v>470</v>
      </c>
      <c r="W68" t="s">
        <v>507</v>
      </c>
      <c r="X68" t="s">
        <v>508</v>
      </c>
    </row>
    <row r="69" spans="1:24" x14ac:dyDescent="0.25">
      <c r="A69" s="6">
        <v>68</v>
      </c>
      <c r="B69" s="12">
        <v>11545450.1568</v>
      </c>
      <c r="C69" s="62">
        <v>142295.84340000199</v>
      </c>
      <c r="D69" s="12" t="s">
        <v>469</v>
      </c>
      <c r="E69" s="12" t="s">
        <v>470</v>
      </c>
      <c r="F69" s="12">
        <f t="shared" si="2"/>
        <v>103.71455</v>
      </c>
      <c r="G69" s="12">
        <f t="shared" si="3"/>
        <v>1.2781666666666667</v>
      </c>
      <c r="H69">
        <v>67</v>
      </c>
      <c r="I69" t="s">
        <v>304</v>
      </c>
      <c r="J69" t="s">
        <v>509</v>
      </c>
      <c r="K69" t="s">
        <v>510</v>
      </c>
      <c r="L69" t="s">
        <v>311</v>
      </c>
      <c r="M69">
        <v>739</v>
      </c>
      <c r="N69">
        <v>11544085.963</v>
      </c>
      <c r="O69">
        <v>140591.70190000199</v>
      </c>
      <c r="Q69">
        <v>67</v>
      </c>
      <c r="R69" t="s">
        <v>304</v>
      </c>
      <c r="S69" t="s">
        <v>509</v>
      </c>
      <c r="T69" t="s">
        <v>510</v>
      </c>
      <c r="U69" t="s">
        <v>311</v>
      </c>
      <c r="V69">
        <v>739</v>
      </c>
      <c r="W69" t="s">
        <v>511</v>
      </c>
      <c r="X69" t="s">
        <v>512</v>
      </c>
    </row>
    <row r="70" spans="1:24" x14ac:dyDescent="0.25">
      <c r="A70" s="6">
        <v>69</v>
      </c>
      <c r="B70" s="12">
        <v>11545616.2097</v>
      </c>
      <c r="C70" s="62">
        <v>142256.46449999901</v>
      </c>
      <c r="D70" s="12" t="s">
        <v>403</v>
      </c>
      <c r="E70" s="12" t="s">
        <v>404</v>
      </c>
      <c r="F70" s="12">
        <f t="shared" si="2"/>
        <v>103.71603333333333</v>
      </c>
      <c r="G70" s="12">
        <f t="shared" si="3"/>
        <v>1.2778</v>
      </c>
      <c r="H70">
        <v>68</v>
      </c>
      <c r="I70" t="s">
        <v>304</v>
      </c>
      <c r="J70" t="s">
        <v>513</v>
      </c>
      <c r="K70" t="s">
        <v>514</v>
      </c>
      <c r="L70" t="s">
        <v>311</v>
      </c>
      <c r="M70">
        <v>996</v>
      </c>
      <c r="N70">
        <v>11544833.4124</v>
      </c>
      <c r="O70">
        <v>140591.70190000199</v>
      </c>
      <c r="Q70">
        <v>68</v>
      </c>
      <c r="R70" t="s">
        <v>304</v>
      </c>
      <c r="S70" t="s">
        <v>513</v>
      </c>
      <c r="T70" t="s">
        <v>514</v>
      </c>
      <c r="U70" t="s">
        <v>311</v>
      </c>
      <c r="V70">
        <v>996</v>
      </c>
      <c r="W70" t="s">
        <v>515</v>
      </c>
      <c r="X70" t="s">
        <v>512</v>
      </c>
    </row>
    <row r="71" spans="1:24" x14ac:dyDescent="0.25">
      <c r="A71" s="6">
        <v>70</v>
      </c>
      <c r="B71" s="12">
        <v>11545751.808900001</v>
      </c>
      <c r="C71" s="62">
        <v>142329.225000001</v>
      </c>
      <c r="D71" s="12" t="s">
        <v>401</v>
      </c>
      <c r="E71" s="12" t="s">
        <v>402</v>
      </c>
      <c r="F71" s="12">
        <f t="shared" si="2"/>
        <v>103.71725000000001</v>
      </c>
      <c r="G71" s="12">
        <f t="shared" si="3"/>
        <v>1.2784666666666666</v>
      </c>
      <c r="H71">
        <v>69</v>
      </c>
      <c r="I71" t="s">
        <v>304</v>
      </c>
      <c r="J71" t="s">
        <v>516</v>
      </c>
      <c r="K71" t="s">
        <v>517</v>
      </c>
      <c r="L71" t="s">
        <v>311</v>
      </c>
      <c r="M71">
        <v>1098</v>
      </c>
      <c r="N71">
        <v>11544935.9387</v>
      </c>
      <c r="O71">
        <v>140522.248599999</v>
      </c>
      <c r="Q71">
        <v>69</v>
      </c>
      <c r="R71" t="s">
        <v>304</v>
      </c>
      <c r="S71" t="s">
        <v>516</v>
      </c>
      <c r="T71" t="s">
        <v>517</v>
      </c>
      <c r="U71" t="s">
        <v>311</v>
      </c>
      <c r="V71">
        <v>1098</v>
      </c>
      <c r="W71" t="s">
        <v>518</v>
      </c>
      <c r="X71" t="s">
        <v>519</v>
      </c>
    </row>
    <row r="72" spans="1:24" x14ac:dyDescent="0.25">
      <c r="A72" s="6">
        <v>71</v>
      </c>
      <c r="B72" s="12">
        <v>11545688.282299999</v>
      </c>
      <c r="C72" s="62">
        <v>142418.21339999899</v>
      </c>
      <c r="D72" s="12" t="s">
        <v>467</v>
      </c>
      <c r="E72" s="12" t="s">
        <v>468</v>
      </c>
      <c r="F72" s="12">
        <f t="shared" si="2"/>
        <v>103.71668333333334</v>
      </c>
      <c r="G72" s="12">
        <f t="shared" si="3"/>
        <v>1.27925</v>
      </c>
      <c r="H72">
        <v>70</v>
      </c>
      <c r="I72" t="s">
        <v>304</v>
      </c>
      <c r="J72" t="s">
        <v>520</v>
      </c>
      <c r="K72" t="s">
        <v>521</v>
      </c>
      <c r="L72" t="s">
        <v>311</v>
      </c>
      <c r="M72">
        <v>1216</v>
      </c>
      <c r="N72">
        <v>11545021.928400001</v>
      </c>
      <c r="O72">
        <v>140459.41</v>
      </c>
      <c r="Q72">
        <v>70</v>
      </c>
      <c r="R72" t="s">
        <v>304</v>
      </c>
      <c r="S72" t="s">
        <v>520</v>
      </c>
      <c r="T72" t="s">
        <v>521</v>
      </c>
      <c r="U72" t="s">
        <v>311</v>
      </c>
      <c r="V72">
        <v>1216</v>
      </c>
      <c r="W72" t="s">
        <v>522</v>
      </c>
      <c r="X72" t="s">
        <v>523</v>
      </c>
    </row>
    <row r="73" spans="1:24" x14ac:dyDescent="0.25">
      <c r="A73" s="6">
        <v>72</v>
      </c>
      <c r="B73" s="12">
        <v>11545374.776900001</v>
      </c>
      <c r="C73" s="62">
        <v>142097.71410000001</v>
      </c>
      <c r="D73" s="12" t="s">
        <v>405</v>
      </c>
      <c r="E73" s="12" t="s">
        <v>372</v>
      </c>
      <c r="F73" s="12">
        <f t="shared" si="2"/>
        <v>103.71386666666666</v>
      </c>
      <c r="G73" s="12">
        <f t="shared" si="3"/>
        <v>1.2763833333333334</v>
      </c>
      <c r="H73">
        <v>71</v>
      </c>
      <c r="I73" t="s">
        <v>304</v>
      </c>
      <c r="J73" t="s">
        <v>524</v>
      </c>
      <c r="K73" t="s">
        <v>525</v>
      </c>
      <c r="L73" t="s">
        <v>311</v>
      </c>
      <c r="M73">
        <v>558</v>
      </c>
      <c r="N73">
        <v>11544320.781199999</v>
      </c>
      <c r="O73">
        <v>140198.13340000101</v>
      </c>
      <c r="Q73">
        <v>71</v>
      </c>
      <c r="R73" t="s">
        <v>304</v>
      </c>
      <c r="S73" t="s">
        <v>524</v>
      </c>
      <c r="T73" t="s">
        <v>525</v>
      </c>
      <c r="U73" t="s">
        <v>311</v>
      </c>
      <c r="V73">
        <v>558</v>
      </c>
      <c r="W73" t="s">
        <v>526</v>
      </c>
      <c r="X73" t="s">
        <v>527</v>
      </c>
    </row>
    <row r="74" spans="1:24" x14ac:dyDescent="0.25">
      <c r="A74" s="6">
        <v>73</v>
      </c>
      <c r="B74" s="12">
        <v>11545331.094107499</v>
      </c>
      <c r="C74" s="62">
        <v>142074.25436994599</v>
      </c>
      <c r="D74" s="12" t="s">
        <v>482</v>
      </c>
      <c r="E74" s="12" t="s">
        <v>483</v>
      </c>
      <c r="F74" s="12">
        <f t="shared" si="2"/>
        <v>103.71346666666666</v>
      </c>
      <c r="G74" s="12">
        <f t="shared" si="3"/>
        <v>1.2761666666666667</v>
      </c>
      <c r="H74">
        <v>72</v>
      </c>
      <c r="I74" t="s">
        <v>304</v>
      </c>
      <c r="J74" t="s">
        <v>528</v>
      </c>
      <c r="K74" t="s">
        <v>529</v>
      </c>
      <c r="L74" t="s">
        <v>311</v>
      </c>
      <c r="M74">
        <v>814</v>
      </c>
      <c r="N74">
        <v>11544558.9066</v>
      </c>
      <c r="O74">
        <v>140085.68530000001</v>
      </c>
      <c r="Q74">
        <v>72</v>
      </c>
      <c r="R74" t="s">
        <v>304</v>
      </c>
      <c r="S74" t="s">
        <v>528</v>
      </c>
      <c r="T74" t="s">
        <v>529</v>
      </c>
      <c r="U74" t="s">
        <v>311</v>
      </c>
      <c r="V74">
        <v>814</v>
      </c>
      <c r="W74" t="s">
        <v>530</v>
      </c>
      <c r="X74" t="s">
        <v>531</v>
      </c>
    </row>
    <row r="75" spans="1:24" x14ac:dyDescent="0.25">
      <c r="A75" s="6">
        <v>74</v>
      </c>
      <c r="B75" s="12">
        <v>11545414.464500001</v>
      </c>
      <c r="C75" s="62">
        <v>141968.729499999</v>
      </c>
      <c r="D75" s="12" t="s">
        <v>406</v>
      </c>
      <c r="E75" s="12" t="s">
        <v>407</v>
      </c>
      <c r="F75" s="12">
        <f t="shared" si="2"/>
        <v>103.71421666666667</v>
      </c>
      <c r="G75" s="12">
        <f t="shared" si="3"/>
        <v>1.2752166666666667</v>
      </c>
      <c r="H75">
        <v>73</v>
      </c>
      <c r="I75" t="s">
        <v>304</v>
      </c>
      <c r="J75" t="s">
        <v>532</v>
      </c>
      <c r="K75" t="s">
        <v>529</v>
      </c>
      <c r="L75" t="s">
        <v>311</v>
      </c>
      <c r="M75">
        <v>828</v>
      </c>
      <c r="N75">
        <v>11544568.828500001</v>
      </c>
      <c r="O75">
        <v>140082.37799999901</v>
      </c>
      <c r="Q75">
        <v>73</v>
      </c>
      <c r="R75" t="s">
        <v>304</v>
      </c>
      <c r="S75" t="s">
        <v>532</v>
      </c>
      <c r="T75" t="s">
        <v>529</v>
      </c>
      <c r="U75" t="s">
        <v>311</v>
      </c>
      <c r="V75">
        <v>828</v>
      </c>
      <c r="W75" t="s">
        <v>533</v>
      </c>
      <c r="X75" t="s">
        <v>534</v>
      </c>
    </row>
    <row r="76" spans="1:24" x14ac:dyDescent="0.25">
      <c r="A76" s="6">
        <v>75</v>
      </c>
      <c r="B76" s="12">
        <v>11545662.5119</v>
      </c>
      <c r="C76" s="62">
        <v>141717.37479999999</v>
      </c>
      <c r="D76" s="12" t="s">
        <v>388</v>
      </c>
      <c r="E76" s="12" t="s">
        <v>389</v>
      </c>
      <c r="F76" s="12">
        <f t="shared" si="2"/>
        <v>103.71644999999999</v>
      </c>
      <c r="G76" s="12">
        <f t="shared" si="3"/>
        <v>1.2729666666666666</v>
      </c>
      <c r="H76">
        <v>74</v>
      </c>
      <c r="I76" t="s">
        <v>304</v>
      </c>
      <c r="J76" t="s">
        <v>535</v>
      </c>
      <c r="K76" t="s">
        <v>529</v>
      </c>
      <c r="L76" t="s">
        <v>311</v>
      </c>
      <c r="M76">
        <v>844</v>
      </c>
      <c r="N76">
        <v>11544585.365</v>
      </c>
      <c r="O76">
        <v>140075.7634</v>
      </c>
      <c r="Q76">
        <v>74</v>
      </c>
      <c r="R76" t="s">
        <v>304</v>
      </c>
      <c r="S76" t="s">
        <v>535</v>
      </c>
      <c r="T76" t="s">
        <v>529</v>
      </c>
      <c r="U76" t="s">
        <v>311</v>
      </c>
      <c r="V76">
        <v>844</v>
      </c>
      <c r="W76" t="s">
        <v>536</v>
      </c>
      <c r="X76" t="s">
        <v>537</v>
      </c>
    </row>
    <row r="77" spans="1:24" x14ac:dyDescent="0.25">
      <c r="A77" s="6">
        <v>76</v>
      </c>
      <c r="B77" s="12">
        <v>11545579.829399999</v>
      </c>
      <c r="C77" s="62">
        <v>141753.755100001</v>
      </c>
      <c r="D77" s="12" t="s">
        <v>391</v>
      </c>
      <c r="E77" s="12" t="s">
        <v>392</v>
      </c>
      <c r="F77" s="12">
        <f t="shared" si="2"/>
        <v>103.7157</v>
      </c>
      <c r="G77" s="12">
        <f t="shared" si="3"/>
        <v>1.2732833333333333</v>
      </c>
      <c r="H77">
        <v>75</v>
      </c>
      <c r="I77" t="s">
        <v>304</v>
      </c>
      <c r="J77" t="s">
        <v>538</v>
      </c>
      <c r="K77" t="s">
        <v>539</v>
      </c>
      <c r="L77" t="s">
        <v>311</v>
      </c>
      <c r="M77">
        <v>1091</v>
      </c>
      <c r="N77">
        <v>11544820.1832</v>
      </c>
      <c r="O77">
        <v>139969.92980000001</v>
      </c>
      <c r="Q77">
        <v>75</v>
      </c>
      <c r="R77" t="s">
        <v>304</v>
      </c>
      <c r="S77" t="s">
        <v>538</v>
      </c>
      <c r="T77" t="s">
        <v>539</v>
      </c>
      <c r="U77" t="s">
        <v>311</v>
      </c>
      <c r="V77">
        <v>1091</v>
      </c>
      <c r="W77" t="s">
        <v>540</v>
      </c>
      <c r="X77" t="s">
        <v>541</v>
      </c>
    </row>
    <row r="78" spans="1:24" x14ac:dyDescent="0.25">
      <c r="A78" s="6">
        <v>77</v>
      </c>
      <c r="B78" s="12">
        <v>11545503.761499999</v>
      </c>
      <c r="C78" s="62">
        <v>141826.51570000101</v>
      </c>
      <c r="D78" s="12" t="s">
        <v>394</v>
      </c>
      <c r="E78" s="12" t="s">
        <v>395</v>
      </c>
      <c r="F78" s="12">
        <f t="shared" si="2"/>
        <v>103.71501666666667</v>
      </c>
      <c r="G78" s="12">
        <f t="shared" si="3"/>
        <v>1.2739500000000001</v>
      </c>
      <c r="H78">
        <v>76</v>
      </c>
      <c r="I78" t="s">
        <v>304</v>
      </c>
      <c r="J78" t="s">
        <v>542</v>
      </c>
      <c r="K78" t="s">
        <v>539</v>
      </c>
      <c r="L78" t="s">
        <v>311</v>
      </c>
      <c r="M78">
        <v>879</v>
      </c>
      <c r="N78">
        <v>11544605.208799999</v>
      </c>
      <c r="O78">
        <v>140029.461199999</v>
      </c>
      <c r="Q78">
        <v>76</v>
      </c>
      <c r="R78" t="s">
        <v>304</v>
      </c>
      <c r="S78" t="s">
        <v>542</v>
      </c>
      <c r="T78" t="s">
        <v>539</v>
      </c>
      <c r="U78" t="s">
        <v>311</v>
      </c>
      <c r="V78">
        <v>879</v>
      </c>
      <c r="W78" t="s">
        <v>543</v>
      </c>
      <c r="X78" t="s">
        <v>544</v>
      </c>
    </row>
    <row r="79" spans="1:24" x14ac:dyDescent="0.25">
      <c r="A79" s="6">
        <v>78</v>
      </c>
      <c r="B79" s="12">
        <v>11545175.651088299</v>
      </c>
      <c r="C79" s="62">
        <v>142087.483563071</v>
      </c>
      <c r="D79" s="12" t="s">
        <v>484</v>
      </c>
      <c r="E79" s="12" t="s">
        <v>485</v>
      </c>
      <c r="F79" s="12">
        <f t="shared" si="2"/>
        <v>103.71208333333334</v>
      </c>
      <c r="G79" s="12">
        <f t="shared" si="3"/>
        <v>1.2762833333333334</v>
      </c>
      <c r="H79">
        <v>77</v>
      </c>
      <c r="I79" t="s">
        <v>304</v>
      </c>
      <c r="J79" t="s">
        <v>545</v>
      </c>
      <c r="K79" t="s">
        <v>546</v>
      </c>
      <c r="L79" t="s">
        <v>311</v>
      </c>
      <c r="M79">
        <v>737</v>
      </c>
      <c r="N79">
        <v>11544429.922</v>
      </c>
      <c r="O79">
        <v>140065.84149999899</v>
      </c>
      <c r="Q79">
        <v>77</v>
      </c>
      <c r="R79" t="s">
        <v>304</v>
      </c>
      <c r="S79" t="s">
        <v>545</v>
      </c>
      <c r="T79" t="s">
        <v>546</v>
      </c>
      <c r="U79" t="s">
        <v>311</v>
      </c>
      <c r="V79">
        <v>737</v>
      </c>
      <c r="W79" t="s">
        <v>547</v>
      </c>
      <c r="X79" t="s">
        <v>548</v>
      </c>
    </row>
    <row r="80" spans="1:24" x14ac:dyDescent="0.25">
      <c r="A80" s="6">
        <v>79</v>
      </c>
      <c r="B80" s="12">
        <v>11545092.968599999</v>
      </c>
      <c r="C80" s="62">
        <v>142156.93679999901</v>
      </c>
      <c r="D80" s="12" t="s">
        <v>479</v>
      </c>
      <c r="E80" s="12" t="s">
        <v>480</v>
      </c>
      <c r="F80" s="12">
        <f t="shared" si="2"/>
        <v>103.71133333333333</v>
      </c>
      <c r="G80" s="12">
        <f t="shared" si="3"/>
        <v>1.2769166666666667</v>
      </c>
      <c r="H80">
        <v>78</v>
      </c>
      <c r="I80" t="s">
        <v>304</v>
      </c>
      <c r="J80" t="s">
        <v>549</v>
      </c>
      <c r="K80" t="s">
        <v>550</v>
      </c>
      <c r="L80" t="s">
        <v>311</v>
      </c>
      <c r="M80">
        <v>565</v>
      </c>
      <c r="N80">
        <v>11544271.171700001</v>
      </c>
      <c r="O80">
        <v>140128.68019999901</v>
      </c>
      <c r="Q80">
        <v>78</v>
      </c>
      <c r="R80" t="s">
        <v>304</v>
      </c>
      <c r="S80" t="s">
        <v>549</v>
      </c>
      <c r="T80" t="s">
        <v>550</v>
      </c>
      <c r="U80" t="s">
        <v>311</v>
      </c>
      <c r="V80">
        <v>565</v>
      </c>
      <c r="W80" t="s">
        <v>551</v>
      </c>
      <c r="X80" t="s">
        <v>552</v>
      </c>
    </row>
    <row r="81" spans="1:24" x14ac:dyDescent="0.25">
      <c r="A81" s="6">
        <v>80</v>
      </c>
      <c r="B81" s="12">
        <v>11545053.281099999</v>
      </c>
      <c r="C81" s="62">
        <v>142027.95219999901</v>
      </c>
      <c r="D81" s="12" t="s">
        <v>487</v>
      </c>
      <c r="E81" s="12" t="s">
        <v>488</v>
      </c>
      <c r="F81" s="12">
        <f t="shared" si="2"/>
        <v>103.71098333333333</v>
      </c>
      <c r="G81" s="12">
        <f t="shared" si="3"/>
        <v>1.2757499999999999</v>
      </c>
      <c r="H81">
        <v>79</v>
      </c>
      <c r="I81" t="s">
        <v>304</v>
      </c>
      <c r="J81" t="s">
        <v>148</v>
      </c>
      <c r="K81" t="s">
        <v>396</v>
      </c>
      <c r="L81" t="s">
        <v>306</v>
      </c>
      <c r="M81">
        <v>469</v>
      </c>
      <c r="N81">
        <v>11544185.1819</v>
      </c>
      <c r="O81">
        <v>140168.36769999901</v>
      </c>
      <c r="Q81">
        <v>79</v>
      </c>
      <c r="R81" t="s">
        <v>304</v>
      </c>
      <c r="S81" t="s">
        <v>148</v>
      </c>
      <c r="T81" t="s">
        <v>396</v>
      </c>
      <c r="U81" t="s">
        <v>306</v>
      </c>
      <c r="V81">
        <v>469</v>
      </c>
      <c r="W81" t="s">
        <v>553</v>
      </c>
      <c r="X81" t="s">
        <v>554</v>
      </c>
    </row>
    <row r="82" spans="1:24" x14ac:dyDescent="0.25">
      <c r="A82" s="6">
        <v>81</v>
      </c>
      <c r="B82" s="12">
        <v>11544924.296399999</v>
      </c>
      <c r="C82" s="62">
        <v>141918.81140000001</v>
      </c>
      <c r="D82" s="12" t="s">
        <v>489</v>
      </c>
      <c r="E82" s="12" t="s">
        <v>490</v>
      </c>
      <c r="F82" s="12">
        <f t="shared" si="2"/>
        <v>103.70981666666667</v>
      </c>
      <c r="G82" s="12">
        <f t="shared" si="3"/>
        <v>1.2747666666666666</v>
      </c>
      <c r="H82">
        <v>80</v>
      </c>
      <c r="I82" t="s">
        <v>304</v>
      </c>
      <c r="J82" t="s">
        <v>555</v>
      </c>
      <c r="K82" t="s">
        <v>141</v>
      </c>
      <c r="L82" t="s">
        <v>311</v>
      </c>
      <c r="M82">
        <v>768</v>
      </c>
      <c r="N82">
        <v>11543999.973200001</v>
      </c>
      <c r="O82">
        <v>139880.632800002</v>
      </c>
      <c r="Q82">
        <v>80</v>
      </c>
      <c r="R82" t="s">
        <v>304</v>
      </c>
      <c r="S82" t="s">
        <v>555</v>
      </c>
      <c r="T82" t="s">
        <v>141</v>
      </c>
      <c r="U82" t="s">
        <v>311</v>
      </c>
      <c r="V82">
        <v>768</v>
      </c>
      <c r="W82" t="s">
        <v>556</v>
      </c>
      <c r="X82" t="s">
        <v>557</v>
      </c>
    </row>
    <row r="83" spans="1:24" x14ac:dyDescent="0.25">
      <c r="A83" s="6">
        <v>82</v>
      </c>
      <c r="B83" s="12">
        <v>11545516.3028</v>
      </c>
      <c r="C83" s="62">
        <v>141528.5502</v>
      </c>
      <c r="D83" s="12" t="s">
        <v>437</v>
      </c>
      <c r="E83" s="12" t="s">
        <v>438</v>
      </c>
      <c r="F83" s="12">
        <f t="shared" si="2"/>
        <v>103.71513333333333</v>
      </c>
      <c r="G83" s="12">
        <f t="shared" si="3"/>
        <v>1.2712666666666665</v>
      </c>
      <c r="H83">
        <v>81</v>
      </c>
      <c r="I83" t="s">
        <v>304</v>
      </c>
      <c r="J83" t="s">
        <v>558</v>
      </c>
      <c r="K83" t="s">
        <v>559</v>
      </c>
      <c r="L83" t="s">
        <v>311</v>
      </c>
      <c r="M83">
        <v>1014</v>
      </c>
      <c r="N83">
        <v>11544091.529296899</v>
      </c>
      <c r="O83">
        <v>139532.89404296901</v>
      </c>
      <c r="Q83">
        <v>81</v>
      </c>
      <c r="R83" t="s">
        <v>304</v>
      </c>
      <c r="S83" t="s">
        <v>558</v>
      </c>
      <c r="T83" t="s">
        <v>559</v>
      </c>
      <c r="U83" t="s">
        <v>311</v>
      </c>
      <c r="V83">
        <v>1014</v>
      </c>
      <c r="W83" t="s">
        <v>560</v>
      </c>
      <c r="X83" t="s">
        <v>561</v>
      </c>
    </row>
    <row r="84" spans="1:24" x14ac:dyDescent="0.25">
      <c r="A84" s="6">
        <v>83</v>
      </c>
      <c r="B84" s="12">
        <v>11544960.6767</v>
      </c>
      <c r="C84" s="62">
        <v>141723.68079999799</v>
      </c>
      <c r="D84" s="12" t="s">
        <v>441</v>
      </c>
      <c r="E84" s="12" t="s">
        <v>442</v>
      </c>
      <c r="F84" s="12">
        <f t="shared" si="2"/>
        <v>103.71015</v>
      </c>
      <c r="G84" s="12">
        <f t="shared" si="3"/>
        <v>1.2730166666666667</v>
      </c>
      <c r="H84">
        <v>82</v>
      </c>
      <c r="I84" t="s">
        <v>304</v>
      </c>
      <c r="J84" t="s">
        <v>562</v>
      </c>
      <c r="K84" t="s">
        <v>563</v>
      </c>
      <c r="L84" t="s">
        <v>311</v>
      </c>
      <c r="M84">
        <v>302</v>
      </c>
      <c r="N84">
        <v>11544026.431600001</v>
      </c>
      <c r="O84">
        <v>140251.0502</v>
      </c>
      <c r="Q84">
        <v>82</v>
      </c>
      <c r="R84" t="s">
        <v>304</v>
      </c>
      <c r="S84" t="s">
        <v>562</v>
      </c>
      <c r="T84" t="s">
        <v>563</v>
      </c>
      <c r="U84" t="s">
        <v>311</v>
      </c>
      <c r="V84">
        <v>302</v>
      </c>
      <c r="W84" t="s">
        <v>564</v>
      </c>
      <c r="X84" t="s">
        <v>565</v>
      </c>
    </row>
    <row r="85" spans="1:24" x14ac:dyDescent="0.25">
      <c r="A85" s="6">
        <v>84</v>
      </c>
      <c r="B85" s="12">
        <v>11545767.657500001</v>
      </c>
      <c r="C85" s="62">
        <v>141455.78959999999</v>
      </c>
      <c r="D85" s="12" t="s">
        <v>410</v>
      </c>
      <c r="E85" s="12" t="s">
        <v>411</v>
      </c>
      <c r="F85" s="12">
        <f t="shared" si="2"/>
        <v>103.7174</v>
      </c>
      <c r="G85" s="12">
        <f t="shared" si="3"/>
        <v>1.2706166666666667</v>
      </c>
      <c r="H85">
        <v>83</v>
      </c>
      <c r="I85" t="s">
        <v>304</v>
      </c>
      <c r="J85" t="s">
        <v>566</v>
      </c>
      <c r="K85" t="s">
        <v>111</v>
      </c>
      <c r="L85" t="s">
        <v>311</v>
      </c>
      <c r="M85">
        <v>186</v>
      </c>
      <c r="N85">
        <v>11543933.827299999</v>
      </c>
      <c r="O85">
        <v>140310.58159999899</v>
      </c>
      <c r="Q85">
        <v>83</v>
      </c>
      <c r="R85" t="s">
        <v>304</v>
      </c>
      <c r="S85" t="s">
        <v>566</v>
      </c>
      <c r="T85" t="s">
        <v>111</v>
      </c>
      <c r="U85" t="s">
        <v>311</v>
      </c>
      <c r="V85">
        <v>186</v>
      </c>
      <c r="W85" t="s">
        <v>567</v>
      </c>
      <c r="X85" t="s">
        <v>568</v>
      </c>
    </row>
    <row r="86" spans="1:24" x14ac:dyDescent="0.25">
      <c r="A86" s="6">
        <v>85</v>
      </c>
      <c r="B86" s="12">
        <v>11544833.4124</v>
      </c>
      <c r="C86" s="62">
        <v>140591.70190000199</v>
      </c>
      <c r="D86" s="12" t="s">
        <v>515</v>
      </c>
      <c r="E86" s="12" t="s">
        <v>512</v>
      </c>
      <c r="F86" s="12">
        <f t="shared" si="2"/>
        <v>103.709</v>
      </c>
      <c r="G86" s="12">
        <f t="shared" si="3"/>
        <v>1.26285</v>
      </c>
      <c r="H86">
        <v>84</v>
      </c>
      <c r="I86" t="s">
        <v>304</v>
      </c>
      <c r="J86" t="s">
        <v>569</v>
      </c>
      <c r="K86" t="s">
        <v>110</v>
      </c>
      <c r="L86" t="s">
        <v>311</v>
      </c>
      <c r="M86">
        <v>278</v>
      </c>
      <c r="N86">
        <v>11543765.155099999</v>
      </c>
      <c r="O86">
        <v>140280.815900002</v>
      </c>
      <c r="Q86">
        <v>84</v>
      </c>
      <c r="R86" t="s">
        <v>304</v>
      </c>
      <c r="S86" t="s">
        <v>569</v>
      </c>
      <c r="T86" t="s">
        <v>110</v>
      </c>
      <c r="U86" t="s">
        <v>311</v>
      </c>
      <c r="V86">
        <v>278</v>
      </c>
      <c r="W86" t="s">
        <v>570</v>
      </c>
      <c r="X86" t="s">
        <v>571</v>
      </c>
    </row>
    <row r="87" spans="1:24" x14ac:dyDescent="0.25">
      <c r="A87" s="6">
        <v>86</v>
      </c>
      <c r="B87" s="12">
        <v>11546875.602399999</v>
      </c>
      <c r="C87" s="62">
        <v>140943.158399999</v>
      </c>
      <c r="D87" s="12" t="s">
        <v>414</v>
      </c>
      <c r="E87" s="12" t="s">
        <v>415</v>
      </c>
      <c r="F87" s="12">
        <f t="shared" si="2"/>
        <v>103.72735</v>
      </c>
      <c r="G87" s="12">
        <f t="shared" si="3"/>
        <v>1.2660166666666668</v>
      </c>
      <c r="H87">
        <v>85</v>
      </c>
      <c r="I87" t="s">
        <v>304</v>
      </c>
      <c r="J87" t="s">
        <v>572</v>
      </c>
      <c r="K87" t="s">
        <v>573</v>
      </c>
      <c r="L87" t="s">
        <v>311</v>
      </c>
      <c r="M87">
        <v>434</v>
      </c>
      <c r="N87">
        <v>11543665.936100001</v>
      </c>
      <c r="O87">
        <v>140155.13850000099</v>
      </c>
      <c r="Q87">
        <v>85</v>
      </c>
      <c r="R87" t="s">
        <v>304</v>
      </c>
      <c r="S87" t="s">
        <v>572</v>
      </c>
      <c r="T87" t="s">
        <v>573</v>
      </c>
      <c r="U87" t="s">
        <v>311</v>
      </c>
      <c r="V87">
        <v>434</v>
      </c>
      <c r="W87" t="s">
        <v>574</v>
      </c>
      <c r="X87" t="s">
        <v>575</v>
      </c>
    </row>
    <row r="88" spans="1:24" x14ac:dyDescent="0.25">
      <c r="A88" s="6">
        <v>87</v>
      </c>
      <c r="B88" s="12">
        <v>11546892.138900001</v>
      </c>
      <c r="C88" s="62">
        <v>140926.6219</v>
      </c>
      <c r="D88" s="12" t="s">
        <v>416</v>
      </c>
      <c r="E88" s="12" t="s">
        <v>417</v>
      </c>
      <c r="F88" s="12">
        <f t="shared" si="2"/>
        <v>103.72750000000001</v>
      </c>
      <c r="G88" s="12">
        <f t="shared" si="3"/>
        <v>1.2658666666666667</v>
      </c>
      <c r="H88">
        <v>86</v>
      </c>
      <c r="I88" t="s">
        <v>304</v>
      </c>
      <c r="J88" t="s">
        <v>576</v>
      </c>
      <c r="K88" t="s">
        <v>139</v>
      </c>
      <c r="L88" t="s">
        <v>311</v>
      </c>
      <c r="M88">
        <v>1088</v>
      </c>
      <c r="N88">
        <v>11543708.931</v>
      </c>
      <c r="O88">
        <v>139536.673799999</v>
      </c>
      <c r="Q88">
        <v>86</v>
      </c>
      <c r="R88" t="s">
        <v>304</v>
      </c>
      <c r="S88" t="s">
        <v>576</v>
      </c>
      <c r="T88" t="s">
        <v>139</v>
      </c>
      <c r="U88" t="s">
        <v>311</v>
      </c>
      <c r="V88">
        <v>1088</v>
      </c>
      <c r="W88" t="s">
        <v>577</v>
      </c>
      <c r="X88" t="s">
        <v>578</v>
      </c>
    </row>
    <row r="89" spans="1:24" x14ac:dyDescent="0.25">
      <c r="A89" s="6">
        <v>88</v>
      </c>
      <c r="B89" s="12">
        <v>11546617.633099999</v>
      </c>
      <c r="C89" s="62">
        <v>141042.377300002</v>
      </c>
      <c r="D89" s="12" t="s">
        <v>423</v>
      </c>
      <c r="E89" s="12" t="s">
        <v>424</v>
      </c>
      <c r="F89" s="12">
        <f t="shared" si="2"/>
        <v>103.72503333333333</v>
      </c>
      <c r="G89" s="12">
        <f t="shared" si="3"/>
        <v>1.2668999999999999</v>
      </c>
      <c r="H89">
        <v>87</v>
      </c>
      <c r="I89" t="s">
        <v>304</v>
      </c>
      <c r="J89" t="s">
        <v>579</v>
      </c>
      <c r="K89" t="s">
        <v>580</v>
      </c>
      <c r="L89" t="s">
        <v>311</v>
      </c>
      <c r="M89">
        <v>1215</v>
      </c>
      <c r="N89">
        <v>11543533.644200001</v>
      </c>
      <c r="O89">
        <v>139543.288400002</v>
      </c>
      <c r="Q89">
        <v>87</v>
      </c>
      <c r="R89" t="s">
        <v>304</v>
      </c>
      <c r="S89" t="s">
        <v>579</v>
      </c>
      <c r="T89" t="s">
        <v>580</v>
      </c>
      <c r="U89" t="s">
        <v>311</v>
      </c>
      <c r="V89">
        <v>1215</v>
      </c>
      <c r="W89" t="s">
        <v>581</v>
      </c>
      <c r="X89" t="s">
        <v>582</v>
      </c>
    </row>
    <row r="90" spans="1:24" x14ac:dyDescent="0.25">
      <c r="A90" s="6">
        <v>89</v>
      </c>
      <c r="B90" s="12">
        <v>11545668.4385</v>
      </c>
      <c r="C90" s="62">
        <v>141048.99190000101</v>
      </c>
      <c r="D90" s="12" t="s">
        <v>431</v>
      </c>
      <c r="E90" s="12" t="s">
        <v>432</v>
      </c>
      <c r="F90" s="12">
        <f t="shared" si="2"/>
        <v>103.7165</v>
      </c>
      <c r="G90" s="12">
        <f t="shared" si="3"/>
        <v>1.2669666666666668</v>
      </c>
      <c r="H90">
        <v>88</v>
      </c>
      <c r="I90" t="s">
        <v>304</v>
      </c>
      <c r="J90" t="s">
        <v>583</v>
      </c>
      <c r="K90" t="s">
        <v>584</v>
      </c>
      <c r="L90" t="s">
        <v>311</v>
      </c>
      <c r="M90">
        <v>940</v>
      </c>
      <c r="N90">
        <v>11543672.5507</v>
      </c>
      <c r="O90">
        <v>139675.5803</v>
      </c>
      <c r="Q90">
        <v>88</v>
      </c>
      <c r="R90" t="s">
        <v>304</v>
      </c>
      <c r="S90" t="s">
        <v>583</v>
      </c>
      <c r="T90" t="s">
        <v>584</v>
      </c>
      <c r="U90" t="s">
        <v>311</v>
      </c>
      <c r="V90">
        <v>940</v>
      </c>
      <c r="W90" t="s">
        <v>585</v>
      </c>
      <c r="X90" t="s">
        <v>586</v>
      </c>
    </row>
    <row r="91" spans="1:24" x14ac:dyDescent="0.25">
      <c r="A91" s="6">
        <v>90</v>
      </c>
      <c r="B91" s="12">
        <v>11545552.6831</v>
      </c>
      <c r="C91" s="62">
        <v>140834.01749999801</v>
      </c>
      <c r="D91" s="12" t="s">
        <v>434</v>
      </c>
      <c r="E91" s="12" t="s">
        <v>435</v>
      </c>
      <c r="F91" s="12">
        <f t="shared" si="2"/>
        <v>103.71546666666667</v>
      </c>
      <c r="G91" s="12">
        <f t="shared" si="3"/>
        <v>1.2650333333333332</v>
      </c>
      <c r="H91">
        <v>89</v>
      </c>
      <c r="I91" t="s">
        <v>304</v>
      </c>
      <c r="J91" t="s">
        <v>587</v>
      </c>
      <c r="K91" t="s">
        <v>588</v>
      </c>
      <c r="L91" t="s">
        <v>311</v>
      </c>
      <c r="M91">
        <v>398</v>
      </c>
      <c r="N91">
        <v>11543619.6339</v>
      </c>
      <c r="O91">
        <v>140201.440699998</v>
      </c>
      <c r="Q91">
        <v>89</v>
      </c>
      <c r="R91" t="s">
        <v>304</v>
      </c>
      <c r="S91" t="s">
        <v>587</v>
      </c>
      <c r="T91" t="s">
        <v>588</v>
      </c>
      <c r="U91" t="s">
        <v>311</v>
      </c>
      <c r="V91">
        <v>398</v>
      </c>
      <c r="W91" t="s">
        <v>589</v>
      </c>
      <c r="X91" t="s">
        <v>590</v>
      </c>
    </row>
    <row r="92" spans="1:24" x14ac:dyDescent="0.25">
      <c r="A92" s="6">
        <v>91</v>
      </c>
      <c r="B92" s="12">
        <v>11546624.2477</v>
      </c>
      <c r="C92" s="62">
        <v>140648.80880000099</v>
      </c>
      <c r="D92" s="12" t="s">
        <v>425</v>
      </c>
      <c r="E92" s="12" t="s">
        <v>426</v>
      </c>
      <c r="F92" s="12">
        <f t="shared" si="2"/>
        <v>103.72508333333333</v>
      </c>
      <c r="G92" s="12">
        <f t="shared" si="3"/>
        <v>1.2633666666666667</v>
      </c>
      <c r="H92">
        <v>90</v>
      </c>
      <c r="I92" t="s">
        <v>304</v>
      </c>
      <c r="J92" t="s">
        <v>591</v>
      </c>
      <c r="K92" t="s">
        <v>592</v>
      </c>
      <c r="L92" t="s">
        <v>311</v>
      </c>
      <c r="M92">
        <v>235</v>
      </c>
      <c r="N92">
        <v>11543705.6237</v>
      </c>
      <c r="O92">
        <v>140489.17570000101</v>
      </c>
      <c r="Q92">
        <v>90</v>
      </c>
      <c r="R92" t="s">
        <v>304</v>
      </c>
      <c r="S92" t="s">
        <v>591</v>
      </c>
      <c r="T92" t="s">
        <v>592</v>
      </c>
      <c r="U92" t="s">
        <v>311</v>
      </c>
      <c r="V92">
        <v>235</v>
      </c>
      <c r="W92" t="s">
        <v>593</v>
      </c>
      <c r="X92" t="s">
        <v>594</v>
      </c>
    </row>
    <row r="93" spans="1:24" x14ac:dyDescent="0.25">
      <c r="A93" s="6">
        <v>92</v>
      </c>
      <c r="B93" s="12">
        <v>11546587.8675</v>
      </c>
      <c r="C93" s="62">
        <v>140619.04309999899</v>
      </c>
      <c r="D93" s="12" t="s">
        <v>427</v>
      </c>
      <c r="E93" s="12" t="s">
        <v>428</v>
      </c>
      <c r="F93" s="12">
        <f t="shared" si="2"/>
        <v>103.72476666666667</v>
      </c>
      <c r="G93" s="12">
        <f t="shared" si="3"/>
        <v>1.2631000000000001</v>
      </c>
      <c r="H93">
        <v>91</v>
      </c>
      <c r="I93" t="s">
        <v>304</v>
      </c>
      <c r="J93" t="s">
        <v>109</v>
      </c>
      <c r="K93" t="s">
        <v>396</v>
      </c>
      <c r="L93" t="s">
        <v>306</v>
      </c>
      <c r="M93">
        <v>871</v>
      </c>
      <c r="N93">
        <v>11543226.065400001</v>
      </c>
      <c r="O93">
        <v>140257.66479999901</v>
      </c>
      <c r="Q93">
        <v>91</v>
      </c>
      <c r="R93" t="s">
        <v>304</v>
      </c>
      <c r="S93" t="s">
        <v>109</v>
      </c>
      <c r="T93" t="s">
        <v>396</v>
      </c>
      <c r="U93" t="s">
        <v>306</v>
      </c>
      <c r="V93">
        <v>871</v>
      </c>
      <c r="W93" t="s">
        <v>595</v>
      </c>
      <c r="X93" t="s">
        <v>596</v>
      </c>
    </row>
    <row r="94" spans="1:24" x14ac:dyDescent="0.25">
      <c r="A94" s="6">
        <v>93</v>
      </c>
      <c r="B94" s="12">
        <v>11544393.304400001</v>
      </c>
      <c r="C94" s="62">
        <v>141305.32739999899</v>
      </c>
      <c r="D94" s="12" t="s">
        <v>630</v>
      </c>
      <c r="E94" s="12" t="s">
        <v>631</v>
      </c>
      <c r="F94" s="12">
        <f t="shared" si="2"/>
        <v>103.70505</v>
      </c>
      <c r="G94" s="12">
        <f t="shared" si="3"/>
        <v>1.2692666666666668</v>
      </c>
      <c r="H94">
        <v>92</v>
      </c>
      <c r="I94" t="s">
        <v>304</v>
      </c>
      <c r="J94" t="s">
        <v>597</v>
      </c>
      <c r="K94" t="s">
        <v>598</v>
      </c>
      <c r="L94" t="s">
        <v>311</v>
      </c>
      <c r="M94">
        <v>847</v>
      </c>
      <c r="N94">
        <v>11543282.2895</v>
      </c>
      <c r="O94">
        <v>140459.41</v>
      </c>
      <c r="Q94">
        <v>92</v>
      </c>
      <c r="R94" t="s">
        <v>304</v>
      </c>
      <c r="S94" t="s">
        <v>597</v>
      </c>
      <c r="T94" t="s">
        <v>598</v>
      </c>
      <c r="U94" t="s">
        <v>311</v>
      </c>
      <c r="V94">
        <v>847</v>
      </c>
      <c r="W94" t="s">
        <v>599</v>
      </c>
      <c r="X94" t="s">
        <v>523</v>
      </c>
    </row>
    <row r="95" spans="1:24" x14ac:dyDescent="0.25">
      <c r="A95" s="6">
        <v>94</v>
      </c>
      <c r="B95" s="12">
        <v>11544544.1172</v>
      </c>
      <c r="C95" s="62">
        <v>141380.73380000101</v>
      </c>
      <c r="D95" s="12" t="s">
        <v>626</v>
      </c>
      <c r="E95" s="12" t="s">
        <v>627</v>
      </c>
      <c r="F95" s="12">
        <f t="shared" si="2"/>
        <v>103.7064</v>
      </c>
      <c r="G95" s="12">
        <f t="shared" si="3"/>
        <v>1.2699333333333334</v>
      </c>
      <c r="H95">
        <v>93</v>
      </c>
      <c r="I95" t="s">
        <v>304</v>
      </c>
      <c r="J95" t="s">
        <v>600</v>
      </c>
      <c r="K95" t="s">
        <v>123</v>
      </c>
      <c r="L95" t="s">
        <v>311</v>
      </c>
      <c r="M95">
        <v>482</v>
      </c>
      <c r="N95">
        <v>11543517.1077</v>
      </c>
      <c r="O95">
        <v>140618.160300002</v>
      </c>
      <c r="Q95">
        <v>93</v>
      </c>
      <c r="R95" t="s">
        <v>304</v>
      </c>
      <c r="S95" t="s">
        <v>600</v>
      </c>
      <c r="T95" t="s">
        <v>123</v>
      </c>
      <c r="U95" t="s">
        <v>311</v>
      </c>
      <c r="V95">
        <v>482</v>
      </c>
      <c r="W95" t="s">
        <v>601</v>
      </c>
      <c r="X95" t="s">
        <v>428</v>
      </c>
    </row>
    <row r="96" spans="1:24" x14ac:dyDescent="0.25">
      <c r="A96" s="6">
        <v>95</v>
      </c>
      <c r="B96" s="12">
        <v>11544610.1031</v>
      </c>
      <c r="C96" s="62">
        <v>141287.117400002</v>
      </c>
      <c r="D96" s="12" t="s">
        <v>495</v>
      </c>
      <c r="E96" s="12" t="s">
        <v>496</v>
      </c>
      <c r="F96" s="12">
        <f t="shared" si="2"/>
        <v>103.70699999999999</v>
      </c>
      <c r="G96" s="12">
        <f t="shared" si="3"/>
        <v>1.2690999999999999</v>
      </c>
      <c r="H96">
        <v>94</v>
      </c>
      <c r="I96" t="s">
        <v>304</v>
      </c>
      <c r="J96" t="s">
        <v>602</v>
      </c>
      <c r="K96" t="s">
        <v>603</v>
      </c>
      <c r="L96" t="s">
        <v>311</v>
      </c>
      <c r="M96">
        <v>841</v>
      </c>
      <c r="N96">
        <v>11543229.3727</v>
      </c>
      <c r="O96">
        <v>140859.5931</v>
      </c>
      <c r="Q96">
        <v>94</v>
      </c>
      <c r="R96" t="s">
        <v>304</v>
      </c>
      <c r="S96" t="s">
        <v>602</v>
      </c>
      <c r="T96" t="s">
        <v>603</v>
      </c>
      <c r="U96" t="s">
        <v>311</v>
      </c>
      <c r="V96">
        <v>841</v>
      </c>
      <c r="W96" t="s">
        <v>604</v>
      </c>
      <c r="X96" t="s">
        <v>605</v>
      </c>
    </row>
    <row r="97" spans="1:24" x14ac:dyDescent="0.25">
      <c r="A97" s="6">
        <v>96</v>
      </c>
      <c r="B97" s="12">
        <v>11544788.6972</v>
      </c>
      <c r="C97" s="62">
        <v>141363.185199998</v>
      </c>
      <c r="D97" s="12" t="s">
        <v>491</v>
      </c>
      <c r="E97" s="12" t="s">
        <v>492</v>
      </c>
      <c r="F97" s="12">
        <f t="shared" si="2"/>
        <v>103.7086</v>
      </c>
      <c r="G97" s="12">
        <f t="shared" si="3"/>
        <v>1.2697833333333333</v>
      </c>
      <c r="H97">
        <v>95</v>
      </c>
      <c r="I97" t="s">
        <v>304</v>
      </c>
      <c r="J97" t="s">
        <v>606</v>
      </c>
      <c r="K97" t="s">
        <v>607</v>
      </c>
      <c r="L97" t="s">
        <v>311</v>
      </c>
      <c r="M97">
        <v>440</v>
      </c>
      <c r="N97">
        <v>11544214.9476</v>
      </c>
      <c r="O97">
        <v>140866.20769999901</v>
      </c>
      <c r="Q97">
        <v>95</v>
      </c>
      <c r="R97" t="s">
        <v>304</v>
      </c>
      <c r="S97" t="s">
        <v>606</v>
      </c>
      <c r="T97" t="s">
        <v>607</v>
      </c>
      <c r="U97" t="s">
        <v>311</v>
      </c>
      <c r="V97">
        <v>440</v>
      </c>
      <c r="W97" t="s">
        <v>608</v>
      </c>
      <c r="X97" t="s">
        <v>609</v>
      </c>
    </row>
    <row r="98" spans="1:24" x14ac:dyDescent="0.25">
      <c r="A98" s="6">
        <v>97</v>
      </c>
      <c r="B98" s="12">
        <v>11544315.7535</v>
      </c>
      <c r="C98" s="62">
        <v>141065.52840000001</v>
      </c>
      <c r="D98" s="12" t="s">
        <v>499</v>
      </c>
      <c r="E98" s="12" t="s">
        <v>500</v>
      </c>
      <c r="F98" s="12">
        <f t="shared" si="2"/>
        <v>103.70435000000001</v>
      </c>
      <c r="G98" s="12">
        <f t="shared" si="3"/>
        <v>1.2671166666666667</v>
      </c>
      <c r="H98">
        <v>96</v>
      </c>
      <c r="I98" t="s">
        <v>304</v>
      </c>
      <c r="J98" t="s">
        <v>610</v>
      </c>
      <c r="K98" t="s">
        <v>121</v>
      </c>
      <c r="L98" t="s">
        <v>311</v>
      </c>
      <c r="M98">
        <v>607</v>
      </c>
      <c r="N98">
        <v>11544076.041099999</v>
      </c>
      <c r="O98">
        <v>140783.525199998</v>
      </c>
      <c r="Q98">
        <v>96</v>
      </c>
      <c r="R98" t="s">
        <v>304</v>
      </c>
      <c r="S98" t="s">
        <v>610</v>
      </c>
      <c r="T98" t="s">
        <v>121</v>
      </c>
      <c r="U98" t="s">
        <v>311</v>
      </c>
      <c r="V98">
        <v>607</v>
      </c>
      <c r="W98" t="s">
        <v>611</v>
      </c>
      <c r="X98" t="s">
        <v>612</v>
      </c>
    </row>
    <row r="99" spans="1:24" x14ac:dyDescent="0.25">
      <c r="A99" s="6">
        <v>98</v>
      </c>
      <c r="B99" s="12">
        <v>11544214.9476</v>
      </c>
      <c r="C99" s="62">
        <v>140866.20769999901</v>
      </c>
      <c r="D99" s="12" t="s">
        <v>608</v>
      </c>
      <c r="E99" s="12" t="s">
        <v>609</v>
      </c>
      <c r="F99" s="12">
        <f t="shared" si="2"/>
        <v>103.70345</v>
      </c>
      <c r="G99" s="12">
        <f t="shared" si="3"/>
        <v>1.2653166666666666</v>
      </c>
      <c r="H99">
        <v>97</v>
      </c>
      <c r="I99" t="s">
        <v>304</v>
      </c>
      <c r="J99" t="s">
        <v>613</v>
      </c>
      <c r="K99" t="s">
        <v>607</v>
      </c>
      <c r="L99" t="s">
        <v>311</v>
      </c>
      <c r="M99">
        <v>457</v>
      </c>
      <c r="N99">
        <v>11544062.811899999</v>
      </c>
      <c r="O99">
        <v>140690.92089999799</v>
      </c>
      <c r="Q99">
        <v>97</v>
      </c>
      <c r="R99" t="s">
        <v>304</v>
      </c>
      <c r="S99" t="s">
        <v>613</v>
      </c>
      <c r="T99" t="s">
        <v>607</v>
      </c>
      <c r="U99" t="s">
        <v>311</v>
      </c>
      <c r="V99">
        <v>457</v>
      </c>
      <c r="W99" t="s">
        <v>614</v>
      </c>
      <c r="X99" t="s">
        <v>615</v>
      </c>
    </row>
    <row r="100" spans="1:24" x14ac:dyDescent="0.25">
      <c r="A100" s="6">
        <v>99</v>
      </c>
      <c r="B100" s="12">
        <v>11544244.713300001</v>
      </c>
      <c r="C100" s="62">
        <v>140790.13980000099</v>
      </c>
      <c r="D100" s="12" t="s">
        <v>503</v>
      </c>
      <c r="E100" s="12" t="s">
        <v>504</v>
      </c>
      <c r="F100" s="12">
        <f t="shared" si="2"/>
        <v>103.70371666666666</v>
      </c>
      <c r="G100" s="12">
        <f t="shared" si="3"/>
        <v>1.2646333333333333</v>
      </c>
      <c r="H100">
        <v>98</v>
      </c>
      <c r="I100" t="s">
        <v>304</v>
      </c>
      <c r="J100" t="s">
        <v>616</v>
      </c>
      <c r="K100" t="s">
        <v>617</v>
      </c>
      <c r="L100" t="s">
        <v>311</v>
      </c>
      <c r="M100">
        <v>379</v>
      </c>
      <c r="N100">
        <v>11543980.1294</v>
      </c>
      <c r="O100">
        <v>140611.545699999</v>
      </c>
      <c r="Q100">
        <v>98</v>
      </c>
      <c r="R100" t="s">
        <v>304</v>
      </c>
      <c r="S100" t="s">
        <v>616</v>
      </c>
      <c r="T100" t="s">
        <v>617</v>
      </c>
      <c r="U100" t="s">
        <v>311</v>
      </c>
      <c r="V100">
        <v>379</v>
      </c>
      <c r="W100" t="s">
        <v>618</v>
      </c>
      <c r="X100" t="s">
        <v>619</v>
      </c>
    </row>
    <row r="101" spans="1:24" x14ac:dyDescent="0.25">
      <c r="A101" s="6">
        <v>100</v>
      </c>
      <c r="B101" s="12">
        <v>11544833.4124</v>
      </c>
      <c r="C101" s="62">
        <v>140591.70190000199</v>
      </c>
      <c r="D101" s="12" t="s">
        <v>515</v>
      </c>
      <c r="E101" s="12" t="s">
        <v>512</v>
      </c>
      <c r="F101" s="12">
        <f t="shared" si="2"/>
        <v>103.709</v>
      </c>
      <c r="G101" s="12">
        <f t="shared" si="3"/>
        <v>1.26285</v>
      </c>
      <c r="H101">
        <v>99</v>
      </c>
      <c r="I101" t="s">
        <v>304</v>
      </c>
      <c r="J101" t="s">
        <v>620</v>
      </c>
      <c r="K101" t="s">
        <v>529</v>
      </c>
      <c r="L101" t="s">
        <v>311</v>
      </c>
      <c r="M101">
        <v>294</v>
      </c>
      <c r="N101">
        <v>11543742.004000001</v>
      </c>
      <c r="O101">
        <v>140555.32160000101</v>
      </c>
      <c r="Q101">
        <v>99</v>
      </c>
      <c r="R101" t="s">
        <v>304</v>
      </c>
      <c r="S101" t="s">
        <v>620</v>
      </c>
      <c r="T101" t="s">
        <v>529</v>
      </c>
      <c r="U101" t="s">
        <v>311</v>
      </c>
      <c r="V101">
        <v>294</v>
      </c>
      <c r="W101" t="s">
        <v>621</v>
      </c>
      <c r="X101" t="s">
        <v>622</v>
      </c>
    </row>
    <row r="102" spans="1:24" x14ac:dyDescent="0.25">
      <c r="A102" s="6">
        <v>101</v>
      </c>
      <c r="B102" s="12">
        <v>11544935.9387</v>
      </c>
      <c r="C102" s="62">
        <v>140522.248599999</v>
      </c>
      <c r="D102" s="12" t="s">
        <v>518</v>
      </c>
      <c r="E102" s="12" t="s">
        <v>519</v>
      </c>
      <c r="F102" s="12">
        <f t="shared" si="2"/>
        <v>103.70991666666667</v>
      </c>
      <c r="G102" s="12">
        <f t="shared" si="3"/>
        <v>1.2622333333333333</v>
      </c>
      <c r="H102">
        <v>100</v>
      </c>
      <c r="I102" t="s">
        <v>304</v>
      </c>
      <c r="J102" t="s">
        <v>509</v>
      </c>
      <c r="K102" t="s">
        <v>510</v>
      </c>
      <c r="L102" t="s">
        <v>311</v>
      </c>
      <c r="M102">
        <v>434</v>
      </c>
      <c r="N102">
        <v>11543632.8631</v>
      </c>
      <c r="O102">
        <v>140647.92599999899</v>
      </c>
      <c r="Q102">
        <v>100</v>
      </c>
      <c r="R102" t="s">
        <v>304</v>
      </c>
      <c r="S102" t="s">
        <v>509</v>
      </c>
      <c r="T102" t="s">
        <v>510</v>
      </c>
      <c r="U102" t="s">
        <v>311</v>
      </c>
      <c r="V102">
        <v>434</v>
      </c>
      <c r="W102" t="s">
        <v>623</v>
      </c>
      <c r="X102" t="s">
        <v>426</v>
      </c>
    </row>
    <row r="103" spans="1:24" x14ac:dyDescent="0.25">
      <c r="A103" s="6">
        <v>102</v>
      </c>
      <c r="B103" s="12">
        <v>11545021.928400001</v>
      </c>
      <c r="C103" s="62">
        <v>140459.41</v>
      </c>
      <c r="D103" s="12" t="s">
        <v>522</v>
      </c>
      <c r="E103" s="12" t="s">
        <v>523</v>
      </c>
      <c r="F103" s="12">
        <f t="shared" si="2"/>
        <v>103.7107</v>
      </c>
      <c r="G103" s="12">
        <f t="shared" si="3"/>
        <v>1.2616666666666667</v>
      </c>
      <c r="H103">
        <v>101</v>
      </c>
      <c r="I103" t="s">
        <v>304</v>
      </c>
      <c r="J103" t="s">
        <v>624</v>
      </c>
      <c r="K103" t="s">
        <v>625</v>
      </c>
      <c r="L103" t="s">
        <v>311</v>
      </c>
      <c r="M103">
        <v>479</v>
      </c>
      <c r="N103">
        <v>11544544.1172</v>
      </c>
      <c r="O103">
        <v>141380.73380000101</v>
      </c>
      <c r="Q103">
        <v>101</v>
      </c>
      <c r="R103" t="s">
        <v>304</v>
      </c>
      <c r="S103" t="s">
        <v>624</v>
      </c>
      <c r="T103" t="s">
        <v>625</v>
      </c>
      <c r="U103" t="s">
        <v>311</v>
      </c>
      <c r="V103">
        <v>479</v>
      </c>
      <c r="W103" t="s">
        <v>626</v>
      </c>
      <c r="X103" t="s">
        <v>627</v>
      </c>
    </row>
    <row r="104" spans="1:24" x14ac:dyDescent="0.25">
      <c r="A104" s="6">
        <v>103</v>
      </c>
      <c r="B104" s="12">
        <v>11543980.1294</v>
      </c>
      <c r="C104" s="62">
        <v>140611.545699999</v>
      </c>
      <c r="D104" s="12" t="s">
        <v>618</v>
      </c>
      <c r="E104" s="12" t="s">
        <v>619</v>
      </c>
      <c r="F104" s="12">
        <f t="shared" si="2"/>
        <v>103.70133333333334</v>
      </c>
      <c r="G104" s="12">
        <f t="shared" si="3"/>
        <v>1.2630333333333335</v>
      </c>
      <c r="H104">
        <v>102</v>
      </c>
      <c r="I104" t="s">
        <v>304</v>
      </c>
      <c r="J104" t="s">
        <v>628</v>
      </c>
      <c r="K104" t="s">
        <v>629</v>
      </c>
      <c r="L104" t="s">
        <v>311</v>
      </c>
      <c r="M104">
        <v>309</v>
      </c>
      <c r="N104">
        <v>11544393.304400001</v>
      </c>
      <c r="O104">
        <v>141305.32739999899</v>
      </c>
      <c r="Q104">
        <v>102</v>
      </c>
      <c r="R104" t="s">
        <v>304</v>
      </c>
      <c r="S104" t="s">
        <v>628</v>
      </c>
      <c r="T104" t="s">
        <v>629</v>
      </c>
      <c r="U104" t="s">
        <v>311</v>
      </c>
      <c r="V104">
        <v>309</v>
      </c>
      <c r="W104" t="s">
        <v>630</v>
      </c>
      <c r="X104" t="s">
        <v>631</v>
      </c>
    </row>
    <row r="105" spans="1:24" x14ac:dyDescent="0.25">
      <c r="A105" s="6">
        <v>104</v>
      </c>
      <c r="B105" s="12">
        <v>11544085.963</v>
      </c>
      <c r="C105" s="62">
        <v>140591.70190000199</v>
      </c>
      <c r="D105" s="12" t="s">
        <v>511</v>
      </c>
      <c r="E105" s="12" t="s">
        <v>512</v>
      </c>
      <c r="F105" s="12">
        <f t="shared" si="2"/>
        <v>103.70228333333333</v>
      </c>
      <c r="G105" s="12">
        <f t="shared" si="3"/>
        <v>1.26285</v>
      </c>
      <c r="H105">
        <v>103</v>
      </c>
      <c r="I105" t="s">
        <v>304</v>
      </c>
      <c r="J105" t="s">
        <v>632</v>
      </c>
      <c r="K105" t="s">
        <v>629</v>
      </c>
      <c r="L105" t="s">
        <v>311</v>
      </c>
      <c r="M105">
        <v>1503</v>
      </c>
      <c r="N105">
        <v>11542690.7072</v>
      </c>
      <c r="O105">
        <v>141023.545600001</v>
      </c>
      <c r="Q105">
        <v>103</v>
      </c>
      <c r="R105" t="s">
        <v>304</v>
      </c>
      <c r="S105" t="s">
        <v>632</v>
      </c>
      <c r="T105" t="s">
        <v>629</v>
      </c>
      <c r="U105" t="s">
        <v>311</v>
      </c>
      <c r="V105">
        <v>1503</v>
      </c>
      <c r="W105" t="s">
        <v>633</v>
      </c>
      <c r="X105" t="s">
        <v>634</v>
      </c>
    </row>
    <row r="106" spans="1:24" x14ac:dyDescent="0.25">
      <c r="A106" s="6">
        <v>105</v>
      </c>
      <c r="B106" s="12">
        <v>11544062.811899999</v>
      </c>
      <c r="C106" s="62">
        <v>140690.92089999799</v>
      </c>
      <c r="D106" s="12" t="s">
        <v>614</v>
      </c>
      <c r="E106" s="12" t="s">
        <v>615</v>
      </c>
      <c r="F106" s="12">
        <f t="shared" si="2"/>
        <v>103.70208333333333</v>
      </c>
      <c r="G106" s="12">
        <f t="shared" si="3"/>
        <v>1.2637499999999999</v>
      </c>
      <c r="H106">
        <v>104</v>
      </c>
      <c r="I106" t="s">
        <v>304</v>
      </c>
      <c r="J106" t="s">
        <v>215</v>
      </c>
      <c r="K106" t="s">
        <v>396</v>
      </c>
      <c r="L106" t="s">
        <v>306</v>
      </c>
      <c r="M106">
        <v>1466</v>
      </c>
      <c r="N106">
        <v>11541621.082900001</v>
      </c>
      <c r="O106">
        <v>142638.55229999899</v>
      </c>
      <c r="Q106">
        <v>104</v>
      </c>
      <c r="R106" t="s">
        <v>304</v>
      </c>
      <c r="S106" t="s">
        <v>215</v>
      </c>
      <c r="T106" t="s">
        <v>396</v>
      </c>
      <c r="U106" t="s">
        <v>306</v>
      </c>
      <c r="V106">
        <v>1466</v>
      </c>
      <c r="W106" t="s">
        <v>635</v>
      </c>
      <c r="X106" t="s">
        <v>636</v>
      </c>
    </row>
    <row r="107" spans="1:24" x14ac:dyDescent="0.25">
      <c r="A107" s="6">
        <v>106</v>
      </c>
      <c r="B107" s="12">
        <v>11544155.416300001</v>
      </c>
      <c r="C107" s="62">
        <v>140674.38439999899</v>
      </c>
      <c r="D107" s="12" t="s">
        <v>507</v>
      </c>
      <c r="E107" s="12" t="s">
        <v>508</v>
      </c>
      <c r="F107" s="12">
        <f t="shared" si="2"/>
        <v>103.70291666666667</v>
      </c>
      <c r="G107" s="12">
        <f t="shared" si="3"/>
        <v>1.2636000000000001</v>
      </c>
      <c r="H107">
        <v>105</v>
      </c>
      <c r="I107" t="s">
        <v>304</v>
      </c>
      <c r="J107" t="s">
        <v>637</v>
      </c>
      <c r="K107" t="s">
        <v>638</v>
      </c>
      <c r="L107" t="s">
        <v>311</v>
      </c>
      <c r="M107">
        <v>2476</v>
      </c>
      <c r="N107">
        <v>11542017.739731001</v>
      </c>
      <c r="O107">
        <v>143317.15495905999</v>
      </c>
      <c r="Q107">
        <v>105</v>
      </c>
      <c r="R107" t="s">
        <v>304</v>
      </c>
      <c r="S107" t="s">
        <v>637</v>
      </c>
      <c r="T107" t="s">
        <v>638</v>
      </c>
      <c r="U107" t="s">
        <v>311</v>
      </c>
      <c r="V107">
        <v>2476</v>
      </c>
      <c r="W107" t="s">
        <v>639</v>
      </c>
      <c r="X107" t="s">
        <v>640</v>
      </c>
    </row>
    <row r="108" spans="1:24" x14ac:dyDescent="0.25">
      <c r="A108" s="6">
        <v>107</v>
      </c>
      <c r="B108" s="12">
        <v>11544076.041099999</v>
      </c>
      <c r="C108" s="62">
        <v>140783.525199998</v>
      </c>
      <c r="D108" s="12" t="s">
        <v>611</v>
      </c>
      <c r="E108" s="12" t="s">
        <v>612</v>
      </c>
      <c r="F108" s="12">
        <f t="shared" si="2"/>
        <v>103.7022</v>
      </c>
      <c r="G108" s="12">
        <f t="shared" si="3"/>
        <v>1.2645833333333334</v>
      </c>
      <c r="H108">
        <v>106</v>
      </c>
      <c r="I108" t="s">
        <v>304</v>
      </c>
      <c r="J108" t="s">
        <v>641</v>
      </c>
      <c r="K108" t="s">
        <v>642</v>
      </c>
      <c r="L108" t="s">
        <v>311</v>
      </c>
      <c r="M108">
        <v>1425</v>
      </c>
      <c r="N108">
        <v>11541548.3223</v>
      </c>
      <c r="O108">
        <v>142665.01069999899</v>
      </c>
      <c r="Q108">
        <v>106</v>
      </c>
      <c r="R108" t="s">
        <v>304</v>
      </c>
      <c r="S108" t="s">
        <v>641</v>
      </c>
      <c r="T108" t="s">
        <v>642</v>
      </c>
      <c r="U108" t="s">
        <v>311</v>
      </c>
      <c r="V108">
        <v>1425</v>
      </c>
      <c r="W108" t="s">
        <v>643</v>
      </c>
      <c r="X108" t="s">
        <v>338</v>
      </c>
    </row>
    <row r="109" spans="1:24" x14ac:dyDescent="0.25">
      <c r="A109" s="6">
        <v>108</v>
      </c>
      <c r="B109" s="12">
        <v>11543933.827299999</v>
      </c>
      <c r="C109" s="62">
        <v>140310.58159999899</v>
      </c>
      <c r="D109" s="12" t="s">
        <v>567</v>
      </c>
      <c r="E109" s="12" t="s">
        <v>568</v>
      </c>
      <c r="F109" s="12">
        <f t="shared" si="2"/>
        <v>103.70091666666667</v>
      </c>
      <c r="G109" s="12">
        <f t="shared" si="3"/>
        <v>1.2603333333333333</v>
      </c>
      <c r="H109">
        <v>107</v>
      </c>
      <c r="I109" t="s">
        <v>304</v>
      </c>
      <c r="J109" t="s">
        <v>142</v>
      </c>
      <c r="K109" t="s">
        <v>396</v>
      </c>
      <c r="L109" t="s">
        <v>306</v>
      </c>
      <c r="M109">
        <v>1486</v>
      </c>
      <c r="N109">
        <v>11541370.621200001</v>
      </c>
      <c r="O109">
        <v>142750.7359</v>
      </c>
      <c r="Q109">
        <v>107</v>
      </c>
      <c r="R109" t="s">
        <v>304</v>
      </c>
      <c r="S109" t="s">
        <v>142</v>
      </c>
      <c r="T109" t="s">
        <v>396</v>
      </c>
      <c r="U109" t="s">
        <v>306</v>
      </c>
      <c r="V109">
        <v>1486</v>
      </c>
      <c r="W109" t="s">
        <v>644</v>
      </c>
      <c r="X109" t="s">
        <v>645</v>
      </c>
    </row>
    <row r="110" spans="1:24" x14ac:dyDescent="0.25">
      <c r="A110" s="6">
        <v>109</v>
      </c>
      <c r="B110" s="12">
        <v>11544026.431600001</v>
      </c>
      <c r="C110" s="62">
        <v>140251.0502</v>
      </c>
      <c r="D110" s="12" t="s">
        <v>564</v>
      </c>
      <c r="E110" s="12" t="s">
        <v>565</v>
      </c>
      <c r="F110" s="12">
        <f t="shared" si="2"/>
        <v>103.70175</v>
      </c>
      <c r="G110" s="12">
        <f t="shared" si="3"/>
        <v>1.2598</v>
      </c>
      <c r="H110">
        <v>108</v>
      </c>
      <c r="I110" t="s">
        <v>304</v>
      </c>
      <c r="J110" t="s">
        <v>646</v>
      </c>
      <c r="K110" t="s">
        <v>647</v>
      </c>
      <c r="L110" t="s">
        <v>311</v>
      </c>
      <c r="M110">
        <v>1730</v>
      </c>
      <c r="N110">
        <v>11541151.545700001</v>
      </c>
      <c r="O110">
        <v>142817.41099999801</v>
      </c>
      <c r="Q110">
        <v>108</v>
      </c>
      <c r="R110" t="s">
        <v>304</v>
      </c>
      <c r="S110" t="s">
        <v>646</v>
      </c>
      <c r="T110" t="s">
        <v>647</v>
      </c>
      <c r="U110" t="s">
        <v>311</v>
      </c>
      <c r="V110">
        <v>1730</v>
      </c>
      <c r="W110" t="s">
        <v>648</v>
      </c>
      <c r="X110" t="s">
        <v>649</v>
      </c>
    </row>
    <row r="111" spans="1:24" x14ac:dyDescent="0.25">
      <c r="A111" s="6">
        <v>110</v>
      </c>
      <c r="B111" s="12">
        <v>11543999.973200001</v>
      </c>
      <c r="C111" s="62">
        <v>139880.632800002</v>
      </c>
      <c r="D111" s="12" t="s">
        <v>556</v>
      </c>
      <c r="E111" s="12" t="s">
        <v>557</v>
      </c>
      <c r="F111" s="12">
        <f t="shared" si="2"/>
        <v>103.70151666666666</v>
      </c>
      <c r="G111" s="12">
        <f t="shared" si="3"/>
        <v>1.2564666666666666</v>
      </c>
      <c r="H111">
        <v>109</v>
      </c>
      <c r="I111" t="s">
        <v>304</v>
      </c>
      <c r="J111" t="s">
        <v>129</v>
      </c>
      <c r="K111" t="s">
        <v>305</v>
      </c>
      <c r="L111" t="s">
        <v>306</v>
      </c>
      <c r="M111">
        <v>287</v>
      </c>
      <c r="N111">
        <v>11542033.820800001</v>
      </c>
      <c r="O111">
        <v>141399.398400001</v>
      </c>
      <c r="Q111">
        <v>109</v>
      </c>
      <c r="R111" t="s">
        <v>304</v>
      </c>
      <c r="S111" t="s">
        <v>129</v>
      </c>
      <c r="T111" t="s">
        <v>305</v>
      </c>
      <c r="U111" t="s">
        <v>306</v>
      </c>
      <c r="V111">
        <v>287</v>
      </c>
      <c r="W111" t="s">
        <v>650</v>
      </c>
      <c r="X111" t="s">
        <v>651</v>
      </c>
    </row>
    <row r="112" spans="1:24" x14ac:dyDescent="0.25">
      <c r="A112" s="6">
        <v>111</v>
      </c>
      <c r="B112" s="12">
        <v>11544091.529296899</v>
      </c>
      <c r="C112" s="62">
        <v>139532.89404296901</v>
      </c>
      <c r="D112" s="12" t="s">
        <v>560</v>
      </c>
      <c r="E112" s="12" t="s">
        <v>561</v>
      </c>
      <c r="F112" s="12">
        <f t="shared" si="2"/>
        <v>103.70233333333333</v>
      </c>
      <c r="G112" s="12">
        <f t="shared" si="3"/>
        <v>1.25335</v>
      </c>
      <c r="H112">
        <v>110</v>
      </c>
      <c r="I112" t="s">
        <v>304</v>
      </c>
      <c r="J112" t="s">
        <v>652</v>
      </c>
      <c r="K112" t="s">
        <v>539</v>
      </c>
      <c r="L112" t="s">
        <v>311</v>
      </c>
      <c r="M112">
        <v>405</v>
      </c>
      <c r="N112">
        <v>11541959.737299999</v>
      </c>
      <c r="O112">
        <v>141341.1899</v>
      </c>
      <c r="Q112">
        <v>110</v>
      </c>
      <c r="R112" t="s">
        <v>304</v>
      </c>
      <c r="S112" t="s">
        <v>652</v>
      </c>
      <c r="T112" t="s">
        <v>539</v>
      </c>
      <c r="U112" t="s">
        <v>311</v>
      </c>
      <c r="V112">
        <v>405</v>
      </c>
      <c r="W112" t="s">
        <v>653</v>
      </c>
      <c r="X112" t="s">
        <v>654</v>
      </c>
    </row>
    <row r="113" spans="1:24" x14ac:dyDescent="0.25">
      <c r="A113" s="6">
        <v>112</v>
      </c>
      <c r="B113" s="12">
        <v>11544185.1819</v>
      </c>
      <c r="C113" s="62">
        <v>140168.36769999901</v>
      </c>
      <c r="D113" s="12" t="s">
        <v>553</v>
      </c>
      <c r="E113" s="12" t="s">
        <v>554</v>
      </c>
      <c r="F113" s="12">
        <f t="shared" si="2"/>
        <v>103.70318333333333</v>
      </c>
      <c r="G113" s="12">
        <f t="shared" si="3"/>
        <v>1.25905</v>
      </c>
      <c r="H113">
        <v>111</v>
      </c>
      <c r="I113" t="s">
        <v>304</v>
      </c>
      <c r="J113" t="s">
        <v>136</v>
      </c>
      <c r="K113" t="s">
        <v>396</v>
      </c>
      <c r="L113" t="s">
        <v>306</v>
      </c>
      <c r="M113">
        <v>524</v>
      </c>
      <c r="N113">
        <v>11541832.7371</v>
      </c>
      <c r="O113">
        <v>141243.293900002</v>
      </c>
      <c r="Q113">
        <v>111</v>
      </c>
      <c r="R113" t="s">
        <v>304</v>
      </c>
      <c r="S113" t="s">
        <v>136</v>
      </c>
      <c r="T113" t="s">
        <v>396</v>
      </c>
      <c r="U113" t="s">
        <v>306</v>
      </c>
      <c r="V113">
        <v>524</v>
      </c>
      <c r="W113" t="s">
        <v>655</v>
      </c>
      <c r="X113" t="s">
        <v>656</v>
      </c>
    </row>
    <row r="114" spans="1:24" x14ac:dyDescent="0.25">
      <c r="A114" s="6">
        <v>113</v>
      </c>
      <c r="B114" s="12">
        <v>11544271.171700001</v>
      </c>
      <c r="C114" s="62">
        <v>140128.68019999901</v>
      </c>
      <c r="D114" s="12" t="s">
        <v>551</v>
      </c>
      <c r="E114" s="12" t="s">
        <v>552</v>
      </c>
      <c r="F114" s="12">
        <f t="shared" si="2"/>
        <v>103.70395000000001</v>
      </c>
      <c r="G114" s="12">
        <f t="shared" si="3"/>
        <v>1.2586999999999999</v>
      </c>
      <c r="H114">
        <v>112</v>
      </c>
      <c r="I114" t="s">
        <v>304</v>
      </c>
      <c r="J114" t="s">
        <v>657</v>
      </c>
      <c r="K114" t="s">
        <v>539</v>
      </c>
      <c r="L114" t="s">
        <v>311</v>
      </c>
      <c r="M114">
        <v>1007</v>
      </c>
      <c r="N114">
        <v>11541451.736300001</v>
      </c>
      <c r="O114">
        <v>140962.83500000101</v>
      </c>
      <c r="Q114">
        <v>112</v>
      </c>
      <c r="R114" t="s">
        <v>304</v>
      </c>
      <c r="S114" t="s">
        <v>657</v>
      </c>
      <c r="T114" t="s">
        <v>539</v>
      </c>
      <c r="U114" t="s">
        <v>311</v>
      </c>
      <c r="V114">
        <v>1007</v>
      </c>
      <c r="W114" t="s">
        <v>658</v>
      </c>
      <c r="X114" t="s">
        <v>659</v>
      </c>
    </row>
    <row r="115" spans="1:24" x14ac:dyDescent="0.25">
      <c r="A115" s="6">
        <v>114</v>
      </c>
      <c r="B115" s="12">
        <v>11544320.781199999</v>
      </c>
      <c r="C115" s="62">
        <v>140198.13340000101</v>
      </c>
      <c r="D115" s="12" t="s">
        <v>526</v>
      </c>
      <c r="E115" s="12" t="s">
        <v>527</v>
      </c>
      <c r="F115" s="12">
        <f t="shared" si="2"/>
        <v>103.70440000000001</v>
      </c>
      <c r="G115" s="12">
        <f t="shared" si="3"/>
        <v>1.2593166666666666</v>
      </c>
      <c r="H115">
        <v>113</v>
      </c>
      <c r="I115" t="s">
        <v>304</v>
      </c>
      <c r="J115" t="s">
        <v>660</v>
      </c>
      <c r="K115" t="s">
        <v>661</v>
      </c>
      <c r="L115" t="s">
        <v>311</v>
      </c>
      <c r="M115">
        <v>1521</v>
      </c>
      <c r="N115">
        <v>11541361.777799999</v>
      </c>
      <c r="O115">
        <v>140417.79219999901</v>
      </c>
      <c r="Q115">
        <v>113</v>
      </c>
      <c r="R115" t="s">
        <v>304</v>
      </c>
      <c r="S115" t="s">
        <v>660</v>
      </c>
      <c r="T115" t="s">
        <v>661</v>
      </c>
      <c r="U115" t="s">
        <v>311</v>
      </c>
      <c r="V115">
        <v>1521</v>
      </c>
      <c r="W115" t="s">
        <v>662</v>
      </c>
      <c r="X115" t="s">
        <v>663</v>
      </c>
    </row>
    <row r="116" spans="1:24" x14ac:dyDescent="0.25">
      <c r="A116" s="6">
        <v>115</v>
      </c>
      <c r="B116" s="12">
        <v>11544429.922</v>
      </c>
      <c r="C116" s="62">
        <v>140065.84149999899</v>
      </c>
      <c r="D116" s="12" t="s">
        <v>547</v>
      </c>
      <c r="E116" s="12" t="s">
        <v>548</v>
      </c>
      <c r="F116" s="12">
        <f t="shared" si="2"/>
        <v>103.70538333333333</v>
      </c>
      <c r="G116" s="12">
        <f t="shared" si="3"/>
        <v>1.2581333333333333</v>
      </c>
      <c r="H116">
        <v>114</v>
      </c>
      <c r="I116" t="s">
        <v>304</v>
      </c>
      <c r="J116" t="s">
        <v>664</v>
      </c>
      <c r="K116" t="s">
        <v>661</v>
      </c>
      <c r="L116" t="s">
        <v>311</v>
      </c>
      <c r="M116">
        <v>1728</v>
      </c>
      <c r="N116">
        <v>11541525.819800001</v>
      </c>
      <c r="O116">
        <v>140584.48009999801</v>
      </c>
      <c r="Q116">
        <v>114</v>
      </c>
      <c r="R116" t="s">
        <v>304</v>
      </c>
      <c r="S116" t="s">
        <v>664</v>
      </c>
      <c r="T116" t="s">
        <v>661</v>
      </c>
      <c r="U116" t="s">
        <v>311</v>
      </c>
      <c r="V116">
        <v>1728</v>
      </c>
      <c r="W116" t="s">
        <v>665</v>
      </c>
      <c r="X116" t="s">
        <v>666</v>
      </c>
    </row>
    <row r="117" spans="1:24" x14ac:dyDescent="0.25">
      <c r="A117" s="6">
        <v>116</v>
      </c>
      <c r="B117" s="12">
        <v>11544558.9066</v>
      </c>
      <c r="C117" s="62">
        <v>140085.68530000001</v>
      </c>
      <c r="D117" s="12" t="s">
        <v>530</v>
      </c>
      <c r="E117" s="12" t="s">
        <v>531</v>
      </c>
      <c r="F117" s="12">
        <f t="shared" si="2"/>
        <v>103.70653333333334</v>
      </c>
      <c r="G117" s="12">
        <f t="shared" si="3"/>
        <v>1.2583166666666667</v>
      </c>
      <c r="H117">
        <v>115</v>
      </c>
      <c r="I117" t="s">
        <v>304</v>
      </c>
      <c r="J117" t="s">
        <v>667</v>
      </c>
      <c r="K117" t="s">
        <v>539</v>
      </c>
      <c r="L117" t="s">
        <v>311</v>
      </c>
      <c r="M117">
        <v>1772</v>
      </c>
      <c r="N117">
        <v>11541605.195</v>
      </c>
      <c r="O117">
        <v>140565.95919999899</v>
      </c>
      <c r="Q117">
        <v>115</v>
      </c>
      <c r="R117" t="s">
        <v>304</v>
      </c>
      <c r="S117" t="s">
        <v>667</v>
      </c>
      <c r="T117" t="s">
        <v>539</v>
      </c>
      <c r="U117" t="s">
        <v>311</v>
      </c>
      <c r="V117">
        <v>1772</v>
      </c>
      <c r="W117" t="s">
        <v>668</v>
      </c>
      <c r="X117" t="s">
        <v>669</v>
      </c>
    </row>
    <row r="118" spans="1:24" x14ac:dyDescent="0.25">
      <c r="A118" s="6">
        <v>117</v>
      </c>
      <c r="B118" s="12">
        <v>11544568.828500001</v>
      </c>
      <c r="C118" s="62">
        <v>140082.37799999901</v>
      </c>
      <c r="D118" s="12" t="s">
        <v>533</v>
      </c>
      <c r="E118" s="12" t="s">
        <v>534</v>
      </c>
      <c r="F118" s="12">
        <f t="shared" si="2"/>
        <v>103.70663333333333</v>
      </c>
      <c r="G118" s="12">
        <f t="shared" si="3"/>
        <v>1.2582833333333334</v>
      </c>
      <c r="H118">
        <v>116</v>
      </c>
      <c r="I118" t="s">
        <v>304</v>
      </c>
      <c r="J118" t="s">
        <v>227</v>
      </c>
      <c r="K118" t="s">
        <v>305</v>
      </c>
      <c r="L118" t="s">
        <v>306</v>
      </c>
      <c r="M118">
        <v>2460</v>
      </c>
      <c r="N118">
        <v>11542086.737600001</v>
      </c>
      <c r="O118">
        <v>140147.91670000201</v>
      </c>
      <c r="Q118">
        <v>116</v>
      </c>
      <c r="R118" t="s">
        <v>304</v>
      </c>
      <c r="S118" t="s">
        <v>227</v>
      </c>
      <c r="T118" t="s">
        <v>305</v>
      </c>
      <c r="U118" t="s">
        <v>306</v>
      </c>
      <c r="V118">
        <v>2460</v>
      </c>
      <c r="W118" t="s">
        <v>670</v>
      </c>
      <c r="X118" t="s">
        <v>671</v>
      </c>
    </row>
    <row r="119" spans="1:24" x14ac:dyDescent="0.25">
      <c r="A119" s="6">
        <v>118</v>
      </c>
      <c r="B119" s="12">
        <v>11544585.365</v>
      </c>
      <c r="C119" s="62">
        <v>140075.7634</v>
      </c>
      <c r="D119" s="12" t="s">
        <v>536</v>
      </c>
      <c r="E119" s="12" t="s">
        <v>537</v>
      </c>
      <c r="F119" s="12">
        <f t="shared" si="2"/>
        <v>103.70676666666667</v>
      </c>
      <c r="G119" s="12">
        <f t="shared" si="3"/>
        <v>1.2582166666666668</v>
      </c>
      <c r="H119">
        <v>117</v>
      </c>
      <c r="I119" t="s">
        <v>304</v>
      </c>
      <c r="J119" t="s">
        <v>672</v>
      </c>
      <c r="K119" t="s">
        <v>221</v>
      </c>
      <c r="L119" t="s">
        <v>311</v>
      </c>
      <c r="M119">
        <v>1378</v>
      </c>
      <c r="N119">
        <v>11541327.609099999</v>
      </c>
      <c r="O119">
        <v>140269.99979999999</v>
      </c>
      <c r="Q119">
        <v>117</v>
      </c>
      <c r="R119" t="s">
        <v>304</v>
      </c>
      <c r="S119" t="s">
        <v>672</v>
      </c>
      <c r="T119" t="s">
        <v>221</v>
      </c>
      <c r="U119" t="s">
        <v>311</v>
      </c>
      <c r="V119">
        <v>1378</v>
      </c>
      <c r="W119" t="s">
        <v>673</v>
      </c>
      <c r="X119" t="s">
        <v>674</v>
      </c>
    </row>
    <row r="120" spans="1:24" x14ac:dyDescent="0.25">
      <c r="A120" s="6">
        <v>119</v>
      </c>
      <c r="B120" s="12">
        <v>11541451.736300001</v>
      </c>
      <c r="C120" s="62">
        <v>140962.83500000101</v>
      </c>
      <c r="D120" s="12" t="s">
        <v>658</v>
      </c>
      <c r="E120" s="12" t="s">
        <v>659</v>
      </c>
      <c r="F120" s="12">
        <f t="shared" si="2"/>
        <v>103.67861666666667</v>
      </c>
      <c r="G120" s="12">
        <f t="shared" si="3"/>
        <v>1.2661833333333332</v>
      </c>
      <c r="H120">
        <v>118</v>
      </c>
      <c r="I120" t="s">
        <v>304</v>
      </c>
      <c r="J120" t="s">
        <v>214</v>
      </c>
      <c r="K120" t="s">
        <v>396</v>
      </c>
      <c r="L120" t="s">
        <v>306</v>
      </c>
      <c r="M120">
        <v>967</v>
      </c>
      <c r="N120">
        <v>11541502.2345159</v>
      </c>
      <c r="O120">
        <v>139998.80133518699</v>
      </c>
      <c r="Q120">
        <v>118</v>
      </c>
      <c r="R120" t="s">
        <v>304</v>
      </c>
      <c r="S120" t="s">
        <v>214</v>
      </c>
      <c r="T120" t="s">
        <v>396</v>
      </c>
      <c r="U120" t="s">
        <v>306</v>
      </c>
      <c r="V120">
        <v>967</v>
      </c>
      <c r="W120" t="s">
        <v>675</v>
      </c>
      <c r="X120" t="s">
        <v>676</v>
      </c>
    </row>
    <row r="121" spans="1:24" x14ac:dyDescent="0.25">
      <c r="A121" s="6">
        <v>120</v>
      </c>
      <c r="B121" s="12">
        <v>11541605.195</v>
      </c>
      <c r="C121" s="62">
        <v>140565.95919999899</v>
      </c>
      <c r="D121" s="12" t="s">
        <v>668</v>
      </c>
      <c r="E121" s="12" t="s">
        <v>669</v>
      </c>
      <c r="F121" s="12">
        <f t="shared" si="2"/>
        <v>103.68</v>
      </c>
      <c r="G121" s="12">
        <f t="shared" si="3"/>
        <v>1.2626166666666667</v>
      </c>
      <c r="H121">
        <v>119</v>
      </c>
      <c r="I121" t="s">
        <v>304</v>
      </c>
      <c r="J121" t="s">
        <v>677</v>
      </c>
      <c r="K121" t="s">
        <v>678</v>
      </c>
      <c r="L121" t="s">
        <v>311</v>
      </c>
      <c r="M121">
        <v>870</v>
      </c>
      <c r="N121">
        <v>11541561.765851101</v>
      </c>
      <c r="O121">
        <v>139933.97829312499</v>
      </c>
      <c r="Q121">
        <v>119</v>
      </c>
      <c r="R121" t="s">
        <v>304</v>
      </c>
      <c r="S121" t="s">
        <v>677</v>
      </c>
      <c r="T121" t="s">
        <v>678</v>
      </c>
      <c r="U121" t="s">
        <v>311</v>
      </c>
      <c r="V121">
        <v>870</v>
      </c>
      <c r="W121" t="s">
        <v>679</v>
      </c>
      <c r="X121" t="s">
        <v>680</v>
      </c>
    </row>
    <row r="122" spans="1:24" x14ac:dyDescent="0.25">
      <c r="A122" s="6">
        <v>121</v>
      </c>
      <c r="B122" s="12">
        <v>11543765.155099999</v>
      </c>
      <c r="C122" s="62">
        <v>140280.815900002</v>
      </c>
      <c r="D122" s="12" t="s">
        <v>570</v>
      </c>
      <c r="E122" s="12" t="s">
        <v>571</v>
      </c>
      <c r="F122" s="12">
        <f t="shared" si="2"/>
        <v>103.6994</v>
      </c>
      <c r="G122" s="12">
        <f t="shared" si="3"/>
        <v>1.2600666666666667</v>
      </c>
      <c r="H122">
        <v>120</v>
      </c>
      <c r="I122" t="s">
        <v>304</v>
      </c>
      <c r="J122" t="s">
        <v>205</v>
      </c>
      <c r="K122" t="s">
        <v>396</v>
      </c>
      <c r="L122" t="s">
        <v>306</v>
      </c>
      <c r="M122">
        <v>607</v>
      </c>
      <c r="N122">
        <v>11541711.2557</v>
      </c>
      <c r="O122">
        <v>139690.561099999</v>
      </c>
      <c r="Q122">
        <v>120</v>
      </c>
      <c r="R122" t="s">
        <v>304</v>
      </c>
      <c r="S122" t="s">
        <v>205</v>
      </c>
      <c r="T122" t="s">
        <v>396</v>
      </c>
      <c r="U122" t="s">
        <v>306</v>
      </c>
      <c r="V122">
        <v>607</v>
      </c>
      <c r="W122" t="s">
        <v>681</v>
      </c>
      <c r="X122" t="s">
        <v>682</v>
      </c>
    </row>
    <row r="123" spans="1:24" x14ac:dyDescent="0.25">
      <c r="A123" s="6">
        <v>122</v>
      </c>
      <c r="B123" s="12">
        <v>11543619.6339</v>
      </c>
      <c r="C123" s="62">
        <v>140201.440699998</v>
      </c>
      <c r="D123" s="12" t="s">
        <v>589</v>
      </c>
      <c r="E123" s="12" t="s">
        <v>590</v>
      </c>
      <c r="F123" s="12">
        <f t="shared" si="2"/>
        <v>103.6981</v>
      </c>
      <c r="G123" s="12">
        <f t="shared" si="3"/>
        <v>1.25935</v>
      </c>
      <c r="H123">
        <v>121</v>
      </c>
      <c r="I123" t="s">
        <v>304</v>
      </c>
      <c r="J123" t="s">
        <v>192</v>
      </c>
      <c r="K123" t="s">
        <v>396</v>
      </c>
      <c r="L123" t="s">
        <v>306</v>
      </c>
      <c r="M123">
        <v>267</v>
      </c>
      <c r="N123">
        <v>11542126.6524</v>
      </c>
      <c r="O123">
        <v>139351.893800002</v>
      </c>
      <c r="Q123">
        <v>121</v>
      </c>
      <c r="R123" t="s">
        <v>304</v>
      </c>
      <c r="S123" t="s">
        <v>192</v>
      </c>
      <c r="T123" t="s">
        <v>396</v>
      </c>
      <c r="U123" t="s">
        <v>306</v>
      </c>
      <c r="V123">
        <v>267</v>
      </c>
      <c r="W123" t="s">
        <v>683</v>
      </c>
      <c r="X123" t="s">
        <v>684</v>
      </c>
    </row>
    <row r="124" spans="1:24" x14ac:dyDescent="0.25">
      <c r="A124" s="6">
        <v>123</v>
      </c>
      <c r="B124" s="12">
        <v>11543665.936100001</v>
      </c>
      <c r="C124" s="62">
        <v>140155.13850000099</v>
      </c>
      <c r="D124" s="12" t="s">
        <v>574</v>
      </c>
      <c r="E124" s="12" t="s">
        <v>575</v>
      </c>
      <c r="F124" s="12">
        <f t="shared" si="2"/>
        <v>103.69851666666666</v>
      </c>
      <c r="G124" s="12">
        <f t="shared" si="3"/>
        <v>1.2589333333333332</v>
      </c>
      <c r="H124">
        <v>122</v>
      </c>
      <c r="I124" t="s">
        <v>304</v>
      </c>
      <c r="J124" t="s">
        <v>193</v>
      </c>
      <c r="K124" t="s">
        <v>396</v>
      </c>
      <c r="L124" t="s">
        <v>306</v>
      </c>
      <c r="M124">
        <v>380</v>
      </c>
      <c r="N124">
        <v>11542224.5484</v>
      </c>
      <c r="O124">
        <v>139375.706300002</v>
      </c>
      <c r="Q124">
        <v>122</v>
      </c>
      <c r="R124" t="s">
        <v>304</v>
      </c>
      <c r="S124" t="s">
        <v>193</v>
      </c>
      <c r="T124" t="s">
        <v>396</v>
      </c>
      <c r="U124" t="s">
        <v>306</v>
      </c>
      <c r="V124">
        <v>380</v>
      </c>
      <c r="W124" t="s">
        <v>685</v>
      </c>
      <c r="X124" t="s">
        <v>686</v>
      </c>
    </row>
    <row r="125" spans="1:24" x14ac:dyDescent="0.25">
      <c r="A125" s="6">
        <v>124</v>
      </c>
      <c r="B125" s="12">
        <v>11543672.5507</v>
      </c>
      <c r="C125" s="62">
        <v>139675.5803</v>
      </c>
      <c r="D125" s="12" t="s">
        <v>585</v>
      </c>
      <c r="E125" s="12" t="s">
        <v>586</v>
      </c>
      <c r="F125" s="12">
        <f t="shared" si="2"/>
        <v>103.69856666666666</v>
      </c>
      <c r="G125" s="12">
        <f t="shared" si="3"/>
        <v>1.2546333333333333</v>
      </c>
      <c r="H125">
        <v>123</v>
      </c>
      <c r="I125" t="s">
        <v>304</v>
      </c>
      <c r="J125" t="s">
        <v>687</v>
      </c>
      <c r="K125" t="s">
        <v>688</v>
      </c>
      <c r="L125" t="s">
        <v>311</v>
      </c>
      <c r="M125">
        <v>369</v>
      </c>
      <c r="N125">
        <v>11542139.8816</v>
      </c>
      <c r="O125">
        <v>139084.664099999</v>
      </c>
      <c r="Q125">
        <v>123</v>
      </c>
      <c r="R125" t="s">
        <v>304</v>
      </c>
      <c r="S125" t="s">
        <v>687</v>
      </c>
      <c r="T125" t="s">
        <v>688</v>
      </c>
      <c r="U125" t="s">
        <v>311</v>
      </c>
      <c r="V125">
        <v>369</v>
      </c>
      <c r="W125" t="s">
        <v>689</v>
      </c>
      <c r="X125" t="s">
        <v>690</v>
      </c>
    </row>
    <row r="126" spans="1:24" x14ac:dyDescent="0.25">
      <c r="A126" s="6">
        <v>125</v>
      </c>
      <c r="B126" s="12">
        <v>11543708.931</v>
      </c>
      <c r="C126" s="62">
        <v>139536.673799999</v>
      </c>
      <c r="D126" s="12" t="s">
        <v>577</v>
      </c>
      <c r="E126" s="12" t="s">
        <v>578</v>
      </c>
      <c r="F126" s="12">
        <f t="shared" si="2"/>
        <v>103.69889999999999</v>
      </c>
      <c r="G126" s="12">
        <f t="shared" si="3"/>
        <v>1.2533833333333333</v>
      </c>
      <c r="H126">
        <v>124</v>
      </c>
      <c r="I126" t="s">
        <v>304</v>
      </c>
      <c r="J126" t="s">
        <v>222</v>
      </c>
      <c r="K126" t="s">
        <v>396</v>
      </c>
      <c r="L126" t="s">
        <v>306</v>
      </c>
      <c r="M126">
        <v>1092</v>
      </c>
      <c r="N126">
        <v>11542351.548699999</v>
      </c>
      <c r="O126">
        <v>138435.375300001</v>
      </c>
      <c r="Q126">
        <v>124</v>
      </c>
      <c r="R126" t="s">
        <v>304</v>
      </c>
      <c r="S126" t="s">
        <v>222</v>
      </c>
      <c r="T126" t="s">
        <v>396</v>
      </c>
      <c r="U126" t="s">
        <v>306</v>
      </c>
      <c r="V126">
        <v>1092</v>
      </c>
      <c r="W126" t="s">
        <v>691</v>
      </c>
      <c r="X126" t="s">
        <v>692</v>
      </c>
    </row>
    <row r="127" spans="1:24" x14ac:dyDescent="0.25">
      <c r="A127" s="6">
        <v>126</v>
      </c>
      <c r="B127" s="12">
        <v>11543533.644200001</v>
      </c>
      <c r="C127" s="62">
        <v>139543.288400002</v>
      </c>
      <c r="D127" s="12" t="s">
        <v>581</v>
      </c>
      <c r="E127" s="12" t="s">
        <v>582</v>
      </c>
      <c r="F127" s="12">
        <f t="shared" si="2"/>
        <v>103.69733333333333</v>
      </c>
      <c r="G127" s="12">
        <f t="shared" si="3"/>
        <v>1.2534333333333334</v>
      </c>
      <c r="H127">
        <v>125</v>
      </c>
      <c r="I127" t="s">
        <v>304</v>
      </c>
      <c r="J127" t="s">
        <v>693</v>
      </c>
      <c r="K127" t="s">
        <v>224</v>
      </c>
      <c r="L127" t="s">
        <v>311</v>
      </c>
      <c r="M127">
        <v>1256</v>
      </c>
      <c r="N127">
        <v>11542280.111</v>
      </c>
      <c r="O127">
        <v>138263.92489999899</v>
      </c>
      <c r="Q127">
        <v>125</v>
      </c>
      <c r="R127" t="s">
        <v>304</v>
      </c>
      <c r="S127" t="s">
        <v>693</v>
      </c>
      <c r="T127" t="s">
        <v>224</v>
      </c>
      <c r="U127" t="s">
        <v>311</v>
      </c>
      <c r="V127">
        <v>1256</v>
      </c>
      <c r="W127" t="s">
        <v>694</v>
      </c>
      <c r="X127" t="s">
        <v>695</v>
      </c>
    </row>
    <row r="128" spans="1:24" x14ac:dyDescent="0.25">
      <c r="A128" s="6">
        <v>127</v>
      </c>
      <c r="B128" s="12">
        <v>11543705.6237</v>
      </c>
      <c r="C128" s="62">
        <v>140489.17570000101</v>
      </c>
      <c r="D128" s="12" t="s">
        <v>593</v>
      </c>
      <c r="E128" s="12" t="s">
        <v>594</v>
      </c>
      <c r="F128" s="12">
        <f t="shared" si="2"/>
        <v>103.69886666666666</v>
      </c>
      <c r="G128" s="12">
        <f t="shared" si="3"/>
        <v>1.2619333333333334</v>
      </c>
      <c r="H128">
        <v>126</v>
      </c>
      <c r="I128" t="s">
        <v>304</v>
      </c>
      <c r="J128" t="s">
        <v>230</v>
      </c>
      <c r="K128" t="s">
        <v>396</v>
      </c>
      <c r="L128" t="s">
        <v>306</v>
      </c>
      <c r="M128">
        <v>2228</v>
      </c>
      <c r="N128">
        <v>11541618.766000001</v>
      </c>
      <c r="O128">
        <v>137576.05099999899</v>
      </c>
      <c r="Q128">
        <v>126</v>
      </c>
      <c r="R128" t="s">
        <v>304</v>
      </c>
      <c r="S128" t="s">
        <v>230</v>
      </c>
      <c r="T128" t="s">
        <v>396</v>
      </c>
      <c r="U128" t="s">
        <v>306</v>
      </c>
      <c r="V128">
        <v>2228</v>
      </c>
      <c r="W128" t="s">
        <v>696</v>
      </c>
      <c r="X128" t="s">
        <v>697</v>
      </c>
    </row>
    <row r="129" spans="1:24" x14ac:dyDescent="0.25">
      <c r="A129" s="6">
        <v>128</v>
      </c>
      <c r="B129" s="12">
        <v>11543742.004000001</v>
      </c>
      <c r="C129" s="62">
        <v>140555.32160000101</v>
      </c>
      <c r="D129" s="12" t="s">
        <v>621</v>
      </c>
      <c r="E129" s="12" t="s">
        <v>622</v>
      </c>
      <c r="F129" s="12">
        <f t="shared" si="2"/>
        <v>103.6992</v>
      </c>
      <c r="G129" s="12">
        <f t="shared" si="3"/>
        <v>1.2625333333333333</v>
      </c>
      <c r="H129">
        <v>127</v>
      </c>
      <c r="I129" t="s">
        <v>304</v>
      </c>
      <c r="J129" t="s">
        <v>698</v>
      </c>
      <c r="K129" t="s">
        <v>699</v>
      </c>
      <c r="L129" t="s">
        <v>311</v>
      </c>
      <c r="M129">
        <v>3590</v>
      </c>
      <c r="N129">
        <v>11541269.214592701</v>
      </c>
      <c r="O129">
        <v>136480.82134132501</v>
      </c>
      <c r="Q129">
        <v>127</v>
      </c>
      <c r="R129" t="s">
        <v>304</v>
      </c>
      <c r="S129" t="s">
        <v>698</v>
      </c>
      <c r="T129" t="s">
        <v>699</v>
      </c>
      <c r="U129" t="s">
        <v>311</v>
      </c>
      <c r="V129">
        <v>3590</v>
      </c>
      <c r="W129" t="s">
        <v>700</v>
      </c>
      <c r="X129" t="s">
        <v>701</v>
      </c>
    </row>
    <row r="130" spans="1:24" x14ac:dyDescent="0.25">
      <c r="A130" s="6">
        <v>129</v>
      </c>
      <c r="B130" s="12">
        <v>11543226.065400001</v>
      </c>
      <c r="C130" s="62">
        <v>140257.66479999901</v>
      </c>
      <c r="D130" s="12" t="s">
        <v>595</v>
      </c>
      <c r="E130" s="12" t="s">
        <v>596</v>
      </c>
      <c r="F130" s="12">
        <f t="shared" si="2"/>
        <v>103.69456666666666</v>
      </c>
      <c r="G130" s="12">
        <f t="shared" si="3"/>
        <v>1.2598499999999999</v>
      </c>
      <c r="H130">
        <v>128</v>
      </c>
      <c r="I130" t="s">
        <v>304</v>
      </c>
      <c r="J130" t="s">
        <v>238</v>
      </c>
      <c r="K130" t="s">
        <v>396</v>
      </c>
      <c r="L130" t="s">
        <v>306</v>
      </c>
      <c r="M130">
        <v>2955</v>
      </c>
      <c r="N130">
        <v>11540951.3532</v>
      </c>
      <c r="O130">
        <v>137183.27629999799</v>
      </c>
      <c r="Q130">
        <v>128</v>
      </c>
      <c r="R130" t="s">
        <v>304</v>
      </c>
      <c r="S130" t="s">
        <v>238</v>
      </c>
      <c r="T130" t="s">
        <v>396</v>
      </c>
      <c r="U130" t="s">
        <v>306</v>
      </c>
      <c r="V130">
        <v>2955</v>
      </c>
      <c r="W130" t="s">
        <v>702</v>
      </c>
      <c r="X130" t="s">
        <v>703</v>
      </c>
    </row>
    <row r="131" spans="1:24" x14ac:dyDescent="0.25">
      <c r="A131" s="6">
        <v>130</v>
      </c>
      <c r="B131" s="12">
        <v>11543632.8631</v>
      </c>
      <c r="C131" s="62">
        <v>140647.92599999899</v>
      </c>
      <c r="D131" s="12" t="s">
        <v>623</v>
      </c>
      <c r="E131" s="12" t="s">
        <v>426</v>
      </c>
      <c r="F131" s="12">
        <f t="shared" ref="F131:F194" si="4">103+MID(D131,6,6)/60</f>
        <v>103.69821666666667</v>
      </c>
      <c r="G131" s="12">
        <f t="shared" ref="G131:G194" si="5">1+MID(E131,4,6)/60</f>
        <v>1.2633666666666667</v>
      </c>
      <c r="H131">
        <v>129</v>
      </c>
      <c r="I131" t="s">
        <v>304</v>
      </c>
      <c r="J131" t="s">
        <v>704</v>
      </c>
      <c r="K131" t="s">
        <v>705</v>
      </c>
      <c r="L131" t="s">
        <v>311</v>
      </c>
      <c r="M131">
        <v>2785</v>
      </c>
      <c r="N131">
        <v>11541133.2546</v>
      </c>
      <c r="O131">
        <v>137246.11489999999</v>
      </c>
      <c r="Q131">
        <v>129</v>
      </c>
      <c r="R131" t="s">
        <v>304</v>
      </c>
      <c r="S131" t="s">
        <v>704</v>
      </c>
      <c r="T131" t="s">
        <v>705</v>
      </c>
      <c r="U131" t="s">
        <v>311</v>
      </c>
      <c r="V131">
        <v>2785</v>
      </c>
      <c r="W131" t="s">
        <v>706</v>
      </c>
      <c r="X131" t="s">
        <v>707</v>
      </c>
    </row>
    <row r="132" spans="1:24" x14ac:dyDescent="0.25">
      <c r="A132" s="6">
        <v>131</v>
      </c>
      <c r="B132" s="12">
        <v>11543517.1077</v>
      </c>
      <c r="C132" s="62">
        <v>140618.160300002</v>
      </c>
      <c r="D132" s="12" t="s">
        <v>601</v>
      </c>
      <c r="E132" s="12" t="s">
        <v>428</v>
      </c>
      <c r="F132" s="12">
        <f t="shared" si="4"/>
        <v>103.69718333333333</v>
      </c>
      <c r="G132" s="12">
        <f t="shared" si="5"/>
        <v>1.2631000000000001</v>
      </c>
      <c r="H132">
        <v>130</v>
      </c>
      <c r="I132" t="s">
        <v>304</v>
      </c>
      <c r="J132" t="s">
        <v>232</v>
      </c>
      <c r="K132" t="s">
        <v>305</v>
      </c>
      <c r="L132" t="s">
        <v>306</v>
      </c>
      <c r="M132">
        <v>2504</v>
      </c>
      <c r="N132">
        <v>11541384.609300001</v>
      </c>
      <c r="O132">
        <v>137391.63610000201</v>
      </c>
      <c r="Q132">
        <v>130</v>
      </c>
      <c r="R132" t="s">
        <v>304</v>
      </c>
      <c r="S132" t="s">
        <v>232</v>
      </c>
      <c r="T132" t="s">
        <v>305</v>
      </c>
      <c r="U132" t="s">
        <v>306</v>
      </c>
      <c r="V132">
        <v>2504</v>
      </c>
      <c r="W132" t="s">
        <v>708</v>
      </c>
      <c r="X132" t="s">
        <v>709</v>
      </c>
    </row>
    <row r="133" spans="1:24" x14ac:dyDescent="0.25">
      <c r="A133" s="6">
        <v>132</v>
      </c>
      <c r="B133" s="12">
        <v>11543282.2895</v>
      </c>
      <c r="C133" s="62">
        <v>140459.41</v>
      </c>
      <c r="D133" s="12" t="s">
        <v>599</v>
      </c>
      <c r="E133" s="12" t="s">
        <v>523</v>
      </c>
      <c r="F133" s="12">
        <f t="shared" si="4"/>
        <v>103.69506666666666</v>
      </c>
      <c r="G133" s="12">
        <f t="shared" si="5"/>
        <v>1.2616666666666667</v>
      </c>
      <c r="H133">
        <v>131</v>
      </c>
      <c r="I133" t="s">
        <v>304</v>
      </c>
      <c r="J133" t="s">
        <v>710</v>
      </c>
      <c r="K133" t="s">
        <v>705</v>
      </c>
      <c r="L133" t="s">
        <v>311</v>
      </c>
      <c r="M133">
        <v>2772</v>
      </c>
      <c r="N133">
        <v>11541106.7963</v>
      </c>
      <c r="O133">
        <v>137338.71930000201</v>
      </c>
      <c r="Q133">
        <v>131</v>
      </c>
      <c r="R133" t="s">
        <v>304</v>
      </c>
      <c r="S133" t="s">
        <v>710</v>
      </c>
      <c r="T133" t="s">
        <v>705</v>
      </c>
      <c r="U133" t="s">
        <v>311</v>
      </c>
      <c r="V133">
        <v>2772</v>
      </c>
      <c r="W133" t="s">
        <v>711</v>
      </c>
      <c r="X133" t="s">
        <v>712</v>
      </c>
    </row>
    <row r="134" spans="1:24" x14ac:dyDescent="0.25">
      <c r="A134" s="6">
        <v>133</v>
      </c>
      <c r="B134" s="12">
        <v>11543229.3727</v>
      </c>
      <c r="C134" s="62">
        <v>140859.5931</v>
      </c>
      <c r="D134" s="12" t="s">
        <v>604</v>
      </c>
      <c r="E134" s="12" t="s">
        <v>605</v>
      </c>
      <c r="F134" s="12">
        <f t="shared" si="4"/>
        <v>103.69459999999999</v>
      </c>
      <c r="G134" s="12">
        <f t="shared" si="5"/>
        <v>1.2652666666666668</v>
      </c>
      <c r="H134">
        <v>132</v>
      </c>
      <c r="I134" t="s">
        <v>304</v>
      </c>
      <c r="J134" t="s">
        <v>233</v>
      </c>
      <c r="K134" t="s">
        <v>396</v>
      </c>
      <c r="L134" t="s">
        <v>306</v>
      </c>
      <c r="M134">
        <v>2548</v>
      </c>
      <c r="N134">
        <v>11541302.588300001</v>
      </c>
      <c r="O134">
        <v>137450.50600000101</v>
      </c>
      <c r="Q134">
        <v>132</v>
      </c>
      <c r="R134" t="s">
        <v>304</v>
      </c>
      <c r="S134" t="s">
        <v>233</v>
      </c>
      <c r="T134" t="s">
        <v>396</v>
      </c>
      <c r="U134" t="s">
        <v>306</v>
      </c>
      <c r="V134">
        <v>2548</v>
      </c>
      <c r="W134" t="s">
        <v>713</v>
      </c>
      <c r="X134" t="s">
        <v>714</v>
      </c>
    </row>
    <row r="135" spans="1:24" x14ac:dyDescent="0.25">
      <c r="A135" s="6">
        <v>134</v>
      </c>
      <c r="B135" s="12">
        <v>11542690.7072</v>
      </c>
      <c r="C135" s="62">
        <v>141023.545600001</v>
      </c>
      <c r="D135" s="12" t="s">
        <v>633</v>
      </c>
      <c r="E135" s="12" t="s">
        <v>634</v>
      </c>
      <c r="F135" s="12">
        <f t="shared" si="4"/>
        <v>103.68975</v>
      </c>
      <c r="G135" s="12">
        <f t="shared" si="5"/>
        <v>1.2667333333333333</v>
      </c>
      <c r="H135">
        <v>133</v>
      </c>
      <c r="I135" t="s">
        <v>304</v>
      </c>
      <c r="J135" t="s">
        <v>229</v>
      </c>
      <c r="K135" t="s">
        <v>305</v>
      </c>
      <c r="L135" t="s">
        <v>306</v>
      </c>
      <c r="M135">
        <v>2222</v>
      </c>
      <c r="N135">
        <v>11541556.5888</v>
      </c>
      <c r="O135">
        <v>137683.33979999999</v>
      </c>
      <c r="Q135">
        <v>133</v>
      </c>
      <c r="R135" t="s">
        <v>304</v>
      </c>
      <c r="S135" t="s">
        <v>229</v>
      </c>
      <c r="T135" t="s">
        <v>305</v>
      </c>
      <c r="U135" t="s">
        <v>306</v>
      </c>
      <c r="V135">
        <v>2222</v>
      </c>
      <c r="W135" t="s">
        <v>715</v>
      </c>
      <c r="X135" t="s">
        <v>716</v>
      </c>
    </row>
    <row r="136" spans="1:24" x14ac:dyDescent="0.25">
      <c r="A136" s="6">
        <v>135</v>
      </c>
      <c r="B136" s="12">
        <v>11542033.820800001</v>
      </c>
      <c r="C136" s="62">
        <v>141399.398400001</v>
      </c>
      <c r="D136" s="12" t="s">
        <v>650</v>
      </c>
      <c r="E136" s="12" t="s">
        <v>651</v>
      </c>
      <c r="F136" s="12">
        <f t="shared" si="4"/>
        <v>103.68385000000001</v>
      </c>
      <c r="G136" s="12">
        <f t="shared" si="5"/>
        <v>1.2701166666666666</v>
      </c>
      <c r="H136">
        <v>134</v>
      </c>
      <c r="I136" t="s">
        <v>304</v>
      </c>
      <c r="J136" t="s">
        <v>220</v>
      </c>
      <c r="K136" t="s">
        <v>305</v>
      </c>
      <c r="L136" t="s">
        <v>306</v>
      </c>
      <c r="M136">
        <v>1029</v>
      </c>
      <c r="N136">
        <v>11542244.506899999</v>
      </c>
      <c r="O136">
        <v>138508.84140000099</v>
      </c>
      <c r="Q136">
        <v>134</v>
      </c>
      <c r="R136" t="s">
        <v>304</v>
      </c>
      <c r="S136" t="s">
        <v>220</v>
      </c>
      <c r="T136" t="s">
        <v>305</v>
      </c>
      <c r="U136" t="s">
        <v>306</v>
      </c>
      <c r="V136">
        <v>1029</v>
      </c>
      <c r="W136" t="s">
        <v>717</v>
      </c>
      <c r="X136" t="s">
        <v>718</v>
      </c>
    </row>
    <row r="137" spans="1:24" x14ac:dyDescent="0.25">
      <c r="A137" s="6">
        <v>136</v>
      </c>
      <c r="B137" s="12">
        <v>11541959.737299999</v>
      </c>
      <c r="C137" s="62">
        <v>141341.1899</v>
      </c>
      <c r="D137" s="12" t="s">
        <v>653</v>
      </c>
      <c r="E137" s="12" t="s">
        <v>654</v>
      </c>
      <c r="F137" s="12">
        <f t="shared" si="4"/>
        <v>103.68318333333333</v>
      </c>
      <c r="G137" s="12">
        <f t="shared" si="5"/>
        <v>1.2695833333333333</v>
      </c>
      <c r="H137">
        <v>135</v>
      </c>
      <c r="I137" t="s">
        <v>304</v>
      </c>
      <c r="J137" t="s">
        <v>210</v>
      </c>
      <c r="K137" t="s">
        <v>305</v>
      </c>
      <c r="L137" t="s">
        <v>306</v>
      </c>
      <c r="M137">
        <v>1129</v>
      </c>
      <c r="N137">
        <v>11541149.129699999</v>
      </c>
      <c r="O137">
        <v>138551.174800001</v>
      </c>
      <c r="Q137">
        <v>135</v>
      </c>
      <c r="R137" t="s">
        <v>304</v>
      </c>
      <c r="S137" t="s">
        <v>210</v>
      </c>
      <c r="T137" t="s">
        <v>305</v>
      </c>
      <c r="U137" t="s">
        <v>306</v>
      </c>
      <c r="V137">
        <v>1129</v>
      </c>
      <c r="W137" t="s">
        <v>719</v>
      </c>
      <c r="X137" t="s">
        <v>720</v>
      </c>
    </row>
    <row r="138" spans="1:24" x14ac:dyDescent="0.25">
      <c r="A138" s="6">
        <v>137</v>
      </c>
      <c r="B138" s="12">
        <v>11541902.5041</v>
      </c>
      <c r="C138" s="62">
        <v>141425.51740000001</v>
      </c>
      <c r="D138" s="12" t="s">
        <v>825</v>
      </c>
      <c r="E138" s="12" t="s">
        <v>826</v>
      </c>
      <c r="F138" s="12">
        <f t="shared" si="4"/>
        <v>103.68266666666666</v>
      </c>
      <c r="G138" s="12">
        <f t="shared" si="5"/>
        <v>1.2703500000000001</v>
      </c>
      <c r="H138">
        <v>136</v>
      </c>
      <c r="I138" t="s">
        <v>304</v>
      </c>
      <c r="J138" t="s">
        <v>207</v>
      </c>
      <c r="K138" t="s">
        <v>396</v>
      </c>
      <c r="L138" t="s">
        <v>306</v>
      </c>
      <c r="M138">
        <v>1113</v>
      </c>
      <c r="N138">
        <v>11541112.0879</v>
      </c>
      <c r="O138">
        <v>138657.00840000101</v>
      </c>
      <c r="Q138">
        <v>136</v>
      </c>
      <c r="R138" t="s">
        <v>304</v>
      </c>
      <c r="S138" t="s">
        <v>207</v>
      </c>
      <c r="T138" t="s">
        <v>396</v>
      </c>
      <c r="U138" t="s">
        <v>306</v>
      </c>
      <c r="V138">
        <v>1113</v>
      </c>
      <c r="W138" t="s">
        <v>721</v>
      </c>
      <c r="X138" t="s">
        <v>722</v>
      </c>
    </row>
    <row r="139" spans="1:24" x14ac:dyDescent="0.25">
      <c r="A139" s="6">
        <v>138</v>
      </c>
      <c r="B139" s="12">
        <v>11541799.316400001</v>
      </c>
      <c r="C139" s="62">
        <v>141358.04859999899</v>
      </c>
      <c r="D139" s="12" t="s">
        <v>821</v>
      </c>
      <c r="E139" s="12" t="s">
        <v>822</v>
      </c>
      <c r="F139" s="12">
        <f t="shared" si="4"/>
        <v>103.68174999999999</v>
      </c>
      <c r="G139" s="12">
        <f t="shared" si="5"/>
        <v>1.2697333333333334</v>
      </c>
      <c r="H139">
        <v>137</v>
      </c>
      <c r="I139" t="s">
        <v>304</v>
      </c>
      <c r="J139" t="s">
        <v>208</v>
      </c>
      <c r="K139" t="s">
        <v>305</v>
      </c>
      <c r="L139" t="s">
        <v>306</v>
      </c>
      <c r="M139">
        <v>1466</v>
      </c>
      <c r="N139">
        <v>11540863.3791</v>
      </c>
      <c r="O139">
        <v>138641.133299999</v>
      </c>
      <c r="Q139">
        <v>137</v>
      </c>
      <c r="R139" t="s">
        <v>304</v>
      </c>
      <c r="S139" t="s">
        <v>208</v>
      </c>
      <c r="T139" t="s">
        <v>305</v>
      </c>
      <c r="U139" t="s">
        <v>306</v>
      </c>
      <c r="V139">
        <v>1466</v>
      </c>
      <c r="W139" t="s">
        <v>723</v>
      </c>
      <c r="X139" t="s">
        <v>724</v>
      </c>
    </row>
    <row r="140" spans="1:24" x14ac:dyDescent="0.25">
      <c r="A140" s="6">
        <v>139</v>
      </c>
      <c r="B140" s="12">
        <v>11541832.7371</v>
      </c>
      <c r="C140" s="62">
        <v>141243.293900002</v>
      </c>
      <c r="D140" s="12" t="s">
        <v>655</v>
      </c>
      <c r="E140" s="12" t="s">
        <v>656</v>
      </c>
      <c r="F140" s="12">
        <f t="shared" si="4"/>
        <v>103.68205</v>
      </c>
      <c r="G140" s="12">
        <f t="shared" si="5"/>
        <v>1.2686999999999999</v>
      </c>
      <c r="H140">
        <v>138</v>
      </c>
      <c r="I140" t="s">
        <v>304</v>
      </c>
      <c r="J140" t="s">
        <v>202</v>
      </c>
      <c r="K140" t="s">
        <v>305</v>
      </c>
      <c r="L140" t="s">
        <v>306</v>
      </c>
      <c r="M140">
        <v>1891</v>
      </c>
      <c r="N140">
        <v>11540381.8365</v>
      </c>
      <c r="O140">
        <v>139577.76020000101</v>
      </c>
      <c r="Q140">
        <v>138</v>
      </c>
      <c r="R140" t="s">
        <v>304</v>
      </c>
      <c r="S140" t="s">
        <v>202</v>
      </c>
      <c r="T140" t="s">
        <v>305</v>
      </c>
      <c r="U140" t="s">
        <v>306</v>
      </c>
      <c r="V140">
        <v>1891</v>
      </c>
      <c r="W140" t="s">
        <v>725</v>
      </c>
      <c r="X140" t="s">
        <v>726</v>
      </c>
    </row>
    <row r="141" spans="1:24" x14ac:dyDescent="0.25">
      <c r="A141" s="6">
        <v>140</v>
      </c>
      <c r="B141" s="12">
        <v>11540628.5328109</v>
      </c>
      <c r="C141" s="62">
        <v>141187.391970489</v>
      </c>
      <c r="D141" s="12" t="s">
        <v>812</v>
      </c>
      <c r="E141" s="12" t="s">
        <v>813</v>
      </c>
      <c r="F141" s="12">
        <f t="shared" si="4"/>
        <v>103.67123333333333</v>
      </c>
      <c r="G141" s="12">
        <f t="shared" si="5"/>
        <v>1.2682</v>
      </c>
      <c r="H141">
        <v>139</v>
      </c>
      <c r="I141" t="s">
        <v>304</v>
      </c>
      <c r="J141" t="s">
        <v>200</v>
      </c>
      <c r="K141" t="s">
        <v>305</v>
      </c>
      <c r="L141" t="s">
        <v>306</v>
      </c>
      <c r="M141">
        <v>1561</v>
      </c>
      <c r="N141">
        <v>11540238.961200001</v>
      </c>
      <c r="O141">
        <v>139858.21909999801</v>
      </c>
      <c r="Q141">
        <v>139</v>
      </c>
      <c r="R141" t="s">
        <v>304</v>
      </c>
      <c r="S141" t="s">
        <v>200</v>
      </c>
      <c r="T141" t="s">
        <v>305</v>
      </c>
      <c r="U141" t="s">
        <v>306</v>
      </c>
      <c r="V141">
        <v>1561</v>
      </c>
      <c r="W141" t="s">
        <v>727</v>
      </c>
      <c r="X141" t="s">
        <v>728</v>
      </c>
    </row>
    <row r="142" spans="1:24" x14ac:dyDescent="0.25">
      <c r="A142" s="6">
        <v>141</v>
      </c>
      <c r="B142" s="12">
        <v>11541422.284399999</v>
      </c>
      <c r="C142" s="62">
        <v>142000.987300001</v>
      </c>
      <c r="D142" s="12" t="s">
        <v>804</v>
      </c>
      <c r="E142" s="12" t="s">
        <v>805</v>
      </c>
      <c r="F142" s="12">
        <f t="shared" si="4"/>
        <v>103.67836666666666</v>
      </c>
      <c r="G142" s="12">
        <f t="shared" si="5"/>
        <v>1.2755166666666666</v>
      </c>
      <c r="H142">
        <v>140</v>
      </c>
      <c r="I142" t="s">
        <v>304</v>
      </c>
      <c r="J142" t="s">
        <v>209</v>
      </c>
      <c r="K142" t="s">
        <v>305</v>
      </c>
      <c r="L142" t="s">
        <v>306</v>
      </c>
      <c r="M142">
        <v>1583</v>
      </c>
      <c r="N142">
        <v>11540937.4626</v>
      </c>
      <c r="O142">
        <v>138757.5502</v>
      </c>
      <c r="Q142">
        <v>140</v>
      </c>
      <c r="R142" t="s">
        <v>304</v>
      </c>
      <c r="S142" t="s">
        <v>209</v>
      </c>
      <c r="T142" t="s">
        <v>305</v>
      </c>
      <c r="U142" t="s">
        <v>306</v>
      </c>
      <c r="V142">
        <v>1583</v>
      </c>
      <c r="W142" t="s">
        <v>729</v>
      </c>
      <c r="X142" t="s">
        <v>730</v>
      </c>
    </row>
    <row r="143" spans="1:24" x14ac:dyDescent="0.25">
      <c r="A143" s="6">
        <v>142</v>
      </c>
      <c r="B143" s="12">
        <v>11540985.721000001</v>
      </c>
      <c r="C143" s="62">
        <v>141842.23699999999</v>
      </c>
      <c r="D143" s="12" t="s">
        <v>799</v>
      </c>
      <c r="E143" s="12" t="s">
        <v>800</v>
      </c>
      <c r="F143" s="12">
        <f t="shared" si="4"/>
        <v>103.67443333333334</v>
      </c>
      <c r="G143" s="12">
        <f t="shared" si="5"/>
        <v>1.2740833333333335</v>
      </c>
      <c r="H143">
        <v>141</v>
      </c>
      <c r="I143" t="s">
        <v>304</v>
      </c>
      <c r="J143" t="s">
        <v>201</v>
      </c>
      <c r="K143" t="s">
        <v>305</v>
      </c>
      <c r="L143" t="s">
        <v>306</v>
      </c>
      <c r="M143">
        <v>1694</v>
      </c>
      <c r="N143">
        <v>11540418.8782</v>
      </c>
      <c r="O143">
        <v>139852.92739999999</v>
      </c>
      <c r="Q143">
        <v>141</v>
      </c>
      <c r="R143" t="s">
        <v>304</v>
      </c>
      <c r="S143" t="s">
        <v>201</v>
      </c>
      <c r="T143" t="s">
        <v>305</v>
      </c>
      <c r="U143" t="s">
        <v>306</v>
      </c>
      <c r="V143">
        <v>1694</v>
      </c>
      <c r="W143" t="s">
        <v>731</v>
      </c>
      <c r="X143" t="s">
        <v>732</v>
      </c>
    </row>
    <row r="144" spans="1:24" x14ac:dyDescent="0.25">
      <c r="A144" s="6">
        <v>143</v>
      </c>
      <c r="B144" s="12">
        <v>11541243.690300001</v>
      </c>
      <c r="C144" s="62">
        <v>142159.7377</v>
      </c>
      <c r="D144" s="12" t="s">
        <v>802</v>
      </c>
      <c r="E144" s="12" t="s">
        <v>803</v>
      </c>
      <c r="F144" s="12">
        <f t="shared" si="4"/>
        <v>103.67675</v>
      </c>
      <c r="G144" s="12">
        <f t="shared" si="5"/>
        <v>1.2769333333333333</v>
      </c>
      <c r="H144">
        <v>142</v>
      </c>
      <c r="I144" t="s">
        <v>304</v>
      </c>
      <c r="J144" t="s">
        <v>733</v>
      </c>
      <c r="K144" t="s">
        <v>131</v>
      </c>
      <c r="L144" t="s">
        <v>311</v>
      </c>
      <c r="M144">
        <v>1427</v>
      </c>
      <c r="N144">
        <v>11540318.336300001</v>
      </c>
      <c r="O144">
        <v>140080.46959999899</v>
      </c>
      <c r="Q144">
        <v>142</v>
      </c>
      <c r="R144" t="s">
        <v>304</v>
      </c>
      <c r="S144" t="s">
        <v>733</v>
      </c>
      <c r="T144" t="s">
        <v>131</v>
      </c>
      <c r="U144" t="s">
        <v>311</v>
      </c>
      <c r="V144">
        <v>1427</v>
      </c>
      <c r="W144" t="s">
        <v>734</v>
      </c>
      <c r="X144" t="s">
        <v>735</v>
      </c>
    </row>
    <row r="145" spans="1:24" x14ac:dyDescent="0.25">
      <c r="A145" s="6">
        <v>144</v>
      </c>
      <c r="B145" s="12">
        <v>11541092.877499999</v>
      </c>
      <c r="C145" s="62">
        <v>142378.01940000101</v>
      </c>
      <c r="D145" s="12" t="s">
        <v>801</v>
      </c>
      <c r="E145" s="12" t="s">
        <v>478</v>
      </c>
      <c r="F145" s="12">
        <f t="shared" si="4"/>
        <v>103.6754</v>
      </c>
      <c r="G145" s="12">
        <f t="shared" si="5"/>
        <v>1.2789000000000001</v>
      </c>
      <c r="H145">
        <v>143</v>
      </c>
      <c r="I145" t="s">
        <v>304</v>
      </c>
      <c r="J145" t="s">
        <v>190</v>
      </c>
      <c r="K145" t="s">
        <v>305</v>
      </c>
      <c r="L145" t="s">
        <v>306</v>
      </c>
      <c r="M145">
        <v>1636</v>
      </c>
      <c r="N145">
        <v>11541016.8377</v>
      </c>
      <c r="O145">
        <v>139471.92670000001</v>
      </c>
      <c r="Q145">
        <v>143</v>
      </c>
      <c r="R145" t="s">
        <v>304</v>
      </c>
      <c r="S145" t="s">
        <v>190</v>
      </c>
      <c r="T145" t="s">
        <v>305</v>
      </c>
      <c r="U145" t="s">
        <v>306</v>
      </c>
      <c r="V145">
        <v>1636</v>
      </c>
      <c r="W145" t="s">
        <v>736</v>
      </c>
      <c r="X145" t="s">
        <v>737</v>
      </c>
    </row>
    <row r="146" spans="1:24" x14ac:dyDescent="0.25">
      <c r="A146" s="6">
        <v>145</v>
      </c>
      <c r="B146" s="12">
        <v>11540902.3771</v>
      </c>
      <c r="C146" s="62">
        <v>142465.33199999901</v>
      </c>
      <c r="D146" s="12" t="s">
        <v>796</v>
      </c>
      <c r="E146" s="12" t="s">
        <v>335</v>
      </c>
      <c r="F146" s="12">
        <f t="shared" si="4"/>
        <v>103.67368333333333</v>
      </c>
      <c r="G146" s="12">
        <f t="shared" si="5"/>
        <v>1.2796833333333333</v>
      </c>
      <c r="H146">
        <v>144</v>
      </c>
      <c r="I146" t="s">
        <v>304</v>
      </c>
      <c r="J146" t="s">
        <v>187</v>
      </c>
      <c r="K146" t="s">
        <v>396</v>
      </c>
      <c r="L146" t="s">
        <v>306</v>
      </c>
      <c r="M146">
        <v>1296</v>
      </c>
      <c r="N146">
        <v>11540762.837200001</v>
      </c>
      <c r="O146">
        <v>140011.67770000201</v>
      </c>
      <c r="Q146">
        <v>144</v>
      </c>
      <c r="R146" t="s">
        <v>304</v>
      </c>
      <c r="S146" t="s">
        <v>187</v>
      </c>
      <c r="T146" t="s">
        <v>396</v>
      </c>
      <c r="U146" t="s">
        <v>306</v>
      </c>
      <c r="V146">
        <v>1296</v>
      </c>
      <c r="W146" t="s">
        <v>738</v>
      </c>
      <c r="X146" t="s">
        <v>739</v>
      </c>
    </row>
    <row r="147" spans="1:24" x14ac:dyDescent="0.25">
      <c r="A147" s="6">
        <v>146</v>
      </c>
      <c r="B147" s="12">
        <v>11541370.621200001</v>
      </c>
      <c r="C147" s="62">
        <v>142750.7359</v>
      </c>
      <c r="D147" s="12" t="s">
        <v>644</v>
      </c>
      <c r="E147" s="12" t="s">
        <v>645</v>
      </c>
      <c r="F147" s="12">
        <f t="shared" si="4"/>
        <v>103.67789999999999</v>
      </c>
      <c r="G147" s="12">
        <f t="shared" si="5"/>
        <v>1.2822499999999999</v>
      </c>
      <c r="H147">
        <v>145</v>
      </c>
      <c r="I147" t="s">
        <v>304</v>
      </c>
      <c r="J147" t="s">
        <v>186</v>
      </c>
      <c r="K147" t="s">
        <v>305</v>
      </c>
      <c r="L147" t="s">
        <v>306</v>
      </c>
      <c r="M147">
        <v>1023</v>
      </c>
      <c r="N147">
        <v>11540630.545299999</v>
      </c>
      <c r="O147">
        <v>140297.42830000099</v>
      </c>
      <c r="Q147">
        <v>145</v>
      </c>
      <c r="R147" t="s">
        <v>304</v>
      </c>
      <c r="S147" t="s">
        <v>186</v>
      </c>
      <c r="T147" t="s">
        <v>305</v>
      </c>
      <c r="U147" t="s">
        <v>306</v>
      </c>
      <c r="V147">
        <v>1023</v>
      </c>
      <c r="W147" t="s">
        <v>740</v>
      </c>
      <c r="X147" t="s">
        <v>741</v>
      </c>
    </row>
    <row r="148" spans="1:24" x14ac:dyDescent="0.25">
      <c r="A148" s="6">
        <v>147</v>
      </c>
      <c r="B148" s="12">
        <v>11541151.545700001</v>
      </c>
      <c r="C148" s="62">
        <v>142817.41099999801</v>
      </c>
      <c r="D148" s="12" t="s">
        <v>648</v>
      </c>
      <c r="E148" s="12" t="s">
        <v>649</v>
      </c>
      <c r="F148" s="12">
        <f t="shared" si="4"/>
        <v>103.67593333333333</v>
      </c>
      <c r="G148" s="12">
        <f t="shared" si="5"/>
        <v>1.28285</v>
      </c>
      <c r="H148">
        <v>146</v>
      </c>
      <c r="I148" t="s">
        <v>304</v>
      </c>
      <c r="J148" t="s">
        <v>203</v>
      </c>
      <c r="K148" t="s">
        <v>305</v>
      </c>
      <c r="L148" t="s">
        <v>306</v>
      </c>
      <c r="M148">
        <v>528</v>
      </c>
      <c r="N148">
        <v>11541688.880799999</v>
      </c>
      <c r="O148">
        <v>139556.593499999</v>
      </c>
      <c r="Q148">
        <v>146</v>
      </c>
      <c r="R148" t="s">
        <v>304</v>
      </c>
      <c r="S148" t="s">
        <v>203</v>
      </c>
      <c r="T148" t="s">
        <v>305</v>
      </c>
      <c r="U148" t="s">
        <v>306</v>
      </c>
      <c r="V148">
        <v>528</v>
      </c>
      <c r="W148" t="s">
        <v>742</v>
      </c>
      <c r="X148" t="s">
        <v>743</v>
      </c>
    </row>
    <row r="149" spans="1:24" x14ac:dyDescent="0.25">
      <c r="A149" s="6">
        <v>148</v>
      </c>
      <c r="B149" s="12">
        <v>11541548.3223</v>
      </c>
      <c r="C149" s="62">
        <v>142665.01069999899</v>
      </c>
      <c r="D149" s="12" t="s">
        <v>643</v>
      </c>
      <c r="E149" s="12" t="s">
        <v>338</v>
      </c>
      <c r="F149" s="12">
        <f t="shared" si="4"/>
        <v>103.6795</v>
      </c>
      <c r="G149" s="12">
        <f t="shared" si="5"/>
        <v>1.2814666666666668</v>
      </c>
      <c r="H149">
        <v>147</v>
      </c>
      <c r="I149" t="s">
        <v>304</v>
      </c>
      <c r="J149" t="s">
        <v>744</v>
      </c>
      <c r="K149" t="s">
        <v>745</v>
      </c>
      <c r="L149" t="s">
        <v>311</v>
      </c>
      <c r="M149">
        <v>1353</v>
      </c>
      <c r="N149">
        <v>11541196.754799999</v>
      </c>
      <c r="O149">
        <v>140196.88650000101</v>
      </c>
      <c r="Q149">
        <v>147</v>
      </c>
      <c r="R149" t="s">
        <v>304</v>
      </c>
      <c r="S149" t="s">
        <v>744</v>
      </c>
      <c r="T149" t="s">
        <v>745</v>
      </c>
      <c r="U149" t="s">
        <v>311</v>
      </c>
      <c r="V149">
        <v>1353</v>
      </c>
      <c r="W149" t="s">
        <v>746</v>
      </c>
      <c r="X149" t="s">
        <v>527</v>
      </c>
    </row>
    <row r="150" spans="1:24" x14ac:dyDescent="0.25">
      <c r="A150" s="6">
        <v>149</v>
      </c>
      <c r="B150" s="12">
        <v>11541621.082900001</v>
      </c>
      <c r="C150" s="62">
        <v>142638.55229999899</v>
      </c>
      <c r="D150" s="12" t="s">
        <v>635</v>
      </c>
      <c r="E150" s="12" t="s">
        <v>636</v>
      </c>
      <c r="F150" s="12">
        <f t="shared" si="4"/>
        <v>103.68015</v>
      </c>
      <c r="G150" s="12">
        <f t="shared" si="5"/>
        <v>1.2812333333333332</v>
      </c>
      <c r="H150">
        <v>148</v>
      </c>
      <c r="I150" t="s">
        <v>304</v>
      </c>
      <c r="J150" t="s">
        <v>747</v>
      </c>
      <c r="K150" t="s">
        <v>748</v>
      </c>
      <c r="L150" t="s">
        <v>311</v>
      </c>
      <c r="M150">
        <v>1635</v>
      </c>
      <c r="N150">
        <v>11541038.0045</v>
      </c>
      <c r="O150">
        <v>140445.59529999999</v>
      </c>
      <c r="Q150">
        <v>148</v>
      </c>
      <c r="R150" t="s">
        <v>304</v>
      </c>
      <c r="S150" t="s">
        <v>747</v>
      </c>
      <c r="T150" t="s">
        <v>748</v>
      </c>
      <c r="U150" t="s">
        <v>311</v>
      </c>
      <c r="V150">
        <v>1635</v>
      </c>
      <c r="W150" t="s">
        <v>749</v>
      </c>
      <c r="X150" t="s">
        <v>750</v>
      </c>
    </row>
    <row r="151" spans="1:24" x14ac:dyDescent="0.25">
      <c r="A151" s="6">
        <v>150</v>
      </c>
      <c r="B151" s="12">
        <v>11542017.739731001</v>
      </c>
      <c r="C151" s="62">
        <v>143317.15495905999</v>
      </c>
      <c r="D151" s="12" t="s">
        <v>639</v>
      </c>
      <c r="E151" s="12" t="s">
        <v>640</v>
      </c>
      <c r="F151" s="12">
        <f t="shared" si="4"/>
        <v>103.68371666666667</v>
      </c>
      <c r="G151" s="12">
        <f t="shared" si="5"/>
        <v>1.2873333333333332</v>
      </c>
      <c r="H151">
        <v>149</v>
      </c>
      <c r="I151" t="s">
        <v>304</v>
      </c>
      <c r="J151" t="s">
        <v>217</v>
      </c>
      <c r="K151" t="s">
        <v>396</v>
      </c>
      <c r="L151" t="s">
        <v>306</v>
      </c>
      <c r="M151">
        <v>1763</v>
      </c>
      <c r="N151">
        <v>11540953.3376</v>
      </c>
      <c r="O151">
        <v>140540.8455</v>
      </c>
      <c r="Q151">
        <v>149</v>
      </c>
      <c r="R151" t="s">
        <v>304</v>
      </c>
      <c r="S151" t="s">
        <v>217</v>
      </c>
      <c r="T151" t="s">
        <v>396</v>
      </c>
      <c r="U151" t="s">
        <v>306</v>
      </c>
      <c r="V151">
        <v>1763</v>
      </c>
      <c r="W151" t="s">
        <v>751</v>
      </c>
      <c r="X151" t="s">
        <v>752</v>
      </c>
    </row>
    <row r="152" spans="1:24" x14ac:dyDescent="0.25">
      <c r="A152" s="6">
        <v>151</v>
      </c>
      <c r="B152" s="12">
        <v>11542126.6524</v>
      </c>
      <c r="C152" s="62">
        <v>139351.893800002</v>
      </c>
      <c r="D152" s="12" t="s">
        <v>683</v>
      </c>
      <c r="E152" s="12" t="s">
        <v>684</v>
      </c>
      <c r="F152" s="12">
        <f t="shared" si="4"/>
        <v>103.68468333333334</v>
      </c>
      <c r="G152" s="12">
        <f t="shared" si="5"/>
        <v>1.2517166666666666</v>
      </c>
      <c r="H152">
        <v>150</v>
      </c>
      <c r="I152" t="s">
        <v>304</v>
      </c>
      <c r="J152" t="s">
        <v>753</v>
      </c>
      <c r="K152" t="s">
        <v>754</v>
      </c>
      <c r="L152" t="s">
        <v>311</v>
      </c>
      <c r="M152">
        <v>1293</v>
      </c>
      <c r="N152">
        <v>11540154.294299999</v>
      </c>
      <c r="O152">
        <v>140161.96139999901</v>
      </c>
      <c r="Q152">
        <v>150</v>
      </c>
      <c r="R152" t="s">
        <v>304</v>
      </c>
      <c r="S152" t="s">
        <v>753</v>
      </c>
      <c r="T152" t="s">
        <v>754</v>
      </c>
      <c r="U152" t="s">
        <v>311</v>
      </c>
      <c r="V152">
        <v>1293</v>
      </c>
      <c r="W152" t="s">
        <v>755</v>
      </c>
      <c r="X152" t="s">
        <v>756</v>
      </c>
    </row>
    <row r="153" spans="1:24" x14ac:dyDescent="0.25">
      <c r="A153" s="6">
        <v>152</v>
      </c>
      <c r="B153" s="12">
        <v>11542224.5484</v>
      </c>
      <c r="C153" s="62">
        <v>139375.706300002</v>
      </c>
      <c r="D153" s="12" t="s">
        <v>685</v>
      </c>
      <c r="E153" s="12" t="s">
        <v>686</v>
      </c>
      <c r="F153" s="12">
        <f t="shared" si="4"/>
        <v>103.68556666666667</v>
      </c>
      <c r="G153" s="12">
        <f t="shared" si="5"/>
        <v>1.2519333333333333</v>
      </c>
      <c r="H153">
        <v>151</v>
      </c>
      <c r="I153" t="s">
        <v>304</v>
      </c>
      <c r="J153" t="s">
        <v>757</v>
      </c>
      <c r="K153" t="s">
        <v>758</v>
      </c>
      <c r="L153" t="s">
        <v>311</v>
      </c>
      <c r="M153">
        <v>1019</v>
      </c>
      <c r="N153">
        <v>11540394.3761</v>
      </c>
      <c r="O153">
        <v>140347.60279999999</v>
      </c>
      <c r="Q153">
        <v>151</v>
      </c>
      <c r="R153" t="s">
        <v>304</v>
      </c>
      <c r="S153" t="s">
        <v>757</v>
      </c>
      <c r="T153" t="s">
        <v>758</v>
      </c>
      <c r="U153" t="s">
        <v>311</v>
      </c>
      <c r="V153">
        <v>1019</v>
      </c>
      <c r="W153" t="s">
        <v>759</v>
      </c>
      <c r="X153" t="s">
        <v>760</v>
      </c>
    </row>
    <row r="154" spans="1:24" x14ac:dyDescent="0.25">
      <c r="A154" s="6">
        <v>153</v>
      </c>
      <c r="B154" s="12">
        <v>11542139.8816</v>
      </c>
      <c r="C154" s="62">
        <v>139084.664099999</v>
      </c>
      <c r="D154" s="12" t="s">
        <v>689</v>
      </c>
      <c r="E154" s="12" t="s">
        <v>690</v>
      </c>
      <c r="F154" s="12">
        <f t="shared" si="4"/>
        <v>103.6848</v>
      </c>
      <c r="G154" s="12">
        <f t="shared" si="5"/>
        <v>1.2493166666666666</v>
      </c>
      <c r="H154">
        <v>152</v>
      </c>
      <c r="I154" t="s">
        <v>304</v>
      </c>
      <c r="J154" t="s">
        <v>181</v>
      </c>
      <c r="K154" t="s">
        <v>396</v>
      </c>
      <c r="L154" t="s">
        <v>306</v>
      </c>
      <c r="M154">
        <v>1056</v>
      </c>
      <c r="N154">
        <v>11540612.6578</v>
      </c>
      <c r="O154">
        <v>140494.44680000099</v>
      </c>
      <c r="Q154">
        <v>152</v>
      </c>
      <c r="R154" t="s">
        <v>304</v>
      </c>
      <c r="S154" t="s">
        <v>181</v>
      </c>
      <c r="T154" t="s">
        <v>396</v>
      </c>
      <c r="U154" t="s">
        <v>306</v>
      </c>
      <c r="V154">
        <v>1056</v>
      </c>
      <c r="W154" t="s">
        <v>761</v>
      </c>
      <c r="X154" t="s">
        <v>762</v>
      </c>
    </row>
    <row r="155" spans="1:24" x14ac:dyDescent="0.25">
      <c r="A155" s="6">
        <v>154</v>
      </c>
      <c r="B155" s="12">
        <v>11542244.506899999</v>
      </c>
      <c r="C155" s="62">
        <v>138508.84140000099</v>
      </c>
      <c r="D155" s="12" t="s">
        <v>717</v>
      </c>
      <c r="E155" s="12" t="s">
        <v>718</v>
      </c>
      <c r="F155" s="12">
        <f t="shared" si="4"/>
        <v>103.68575</v>
      </c>
      <c r="G155" s="12">
        <f t="shared" si="5"/>
        <v>1.2441499999999999</v>
      </c>
      <c r="H155">
        <v>153</v>
      </c>
      <c r="I155" t="s">
        <v>304</v>
      </c>
      <c r="J155" t="s">
        <v>180</v>
      </c>
      <c r="K155" t="s">
        <v>396</v>
      </c>
      <c r="L155" t="s">
        <v>306</v>
      </c>
      <c r="M155">
        <v>1170</v>
      </c>
      <c r="N155">
        <v>11540719.814200001</v>
      </c>
      <c r="O155">
        <v>140573.822000001</v>
      </c>
      <c r="Q155">
        <v>153</v>
      </c>
      <c r="R155" t="s">
        <v>304</v>
      </c>
      <c r="S155" t="s">
        <v>180</v>
      </c>
      <c r="T155" t="s">
        <v>396</v>
      </c>
      <c r="U155" t="s">
        <v>306</v>
      </c>
      <c r="V155">
        <v>1170</v>
      </c>
      <c r="W155" t="s">
        <v>763</v>
      </c>
      <c r="X155" t="s">
        <v>764</v>
      </c>
    </row>
    <row r="156" spans="1:24" x14ac:dyDescent="0.25">
      <c r="A156" s="6">
        <v>155</v>
      </c>
      <c r="B156" s="12">
        <v>11542351.548699999</v>
      </c>
      <c r="C156" s="62">
        <v>138435.375300001</v>
      </c>
      <c r="D156" s="12" t="s">
        <v>691</v>
      </c>
      <c r="E156" s="12" t="s">
        <v>692</v>
      </c>
      <c r="F156" s="12">
        <f t="shared" si="4"/>
        <v>103.6867</v>
      </c>
      <c r="G156" s="12">
        <f t="shared" si="5"/>
        <v>1.2434833333333333</v>
      </c>
      <c r="H156">
        <v>154</v>
      </c>
      <c r="I156" t="s">
        <v>304</v>
      </c>
      <c r="J156" t="s">
        <v>185</v>
      </c>
      <c r="K156" t="s">
        <v>396</v>
      </c>
      <c r="L156" t="s">
        <v>306</v>
      </c>
      <c r="M156">
        <v>521</v>
      </c>
      <c r="N156">
        <v>11540362.626</v>
      </c>
      <c r="O156">
        <v>140720.66600000099</v>
      </c>
      <c r="Q156">
        <v>154</v>
      </c>
      <c r="R156" t="s">
        <v>304</v>
      </c>
      <c r="S156" t="s">
        <v>185</v>
      </c>
      <c r="T156" t="s">
        <v>396</v>
      </c>
      <c r="U156" t="s">
        <v>306</v>
      </c>
      <c r="V156">
        <v>521</v>
      </c>
      <c r="W156" t="s">
        <v>765</v>
      </c>
      <c r="X156" t="s">
        <v>766</v>
      </c>
    </row>
    <row r="157" spans="1:24" x14ac:dyDescent="0.25">
      <c r="A157" s="6">
        <v>156</v>
      </c>
      <c r="B157" s="12">
        <v>11542280.111</v>
      </c>
      <c r="C157" s="62">
        <v>138263.92489999899</v>
      </c>
      <c r="D157" s="12" t="s">
        <v>694</v>
      </c>
      <c r="E157" s="12" t="s">
        <v>695</v>
      </c>
      <c r="F157" s="12">
        <f t="shared" si="4"/>
        <v>103.68606666666666</v>
      </c>
      <c r="G157" s="12">
        <f t="shared" si="5"/>
        <v>1.2419500000000001</v>
      </c>
      <c r="H157">
        <v>155</v>
      </c>
      <c r="I157" t="s">
        <v>304</v>
      </c>
      <c r="J157" t="s">
        <v>767</v>
      </c>
      <c r="K157" t="s">
        <v>171</v>
      </c>
      <c r="L157" t="s">
        <v>311</v>
      </c>
      <c r="M157">
        <v>239</v>
      </c>
      <c r="N157">
        <v>11540191.9694</v>
      </c>
      <c r="O157">
        <v>140954.822799999</v>
      </c>
      <c r="Q157">
        <v>155</v>
      </c>
      <c r="R157" t="s">
        <v>304</v>
      </c>
      <c r="S157" t="s">
        <v>767</v>
      </c>
      <c r="T157" t="s">
        <v>171</v>
      </c>
      <c r="U157" t="s">
        <v>311</v>
      </c>
      <c r="V157">
        <v>239</v>
      </c>
      <c r="W157" t="s">
        <v>768</v>
      </c>
      <c r="X157" t="s">
        <v>769</v>
      </c>
    </row>
    <row r="158" spans="1:24" x14ac:dyDescent="0.25">
      <c r="A158" s="6">
        <v>157</v>
      </c>
      <c r="B158" s="12">
        <v>11541556.5888</v>
      </c>
      <c r="C158" s="62">
        <v>137683.33979999999</v>
      </c>
      <c r="D158" s="12" t="s">
        <v>715</v>
      </c>
      <c r="E158" s="12" t="s">
        <v>716</v>
      </c>
      <c r="F158" s="12">
        <f t="shared" si="4"/>
        <v>103.67956666666667</v>
      </c>
      <c r="G158" s="12">
        <f t="shared" si="5"/>
        <v>1.2367333333333335</v>
      </c>
      <c r="H158">
        <v>156</v>
      </c>
      <c r="I158" t="s">
        <v>304</v>
      </c>
      <c r="J158" t="s">
        <v>167</v>
      </c>
      <c r="K158" t="s">
        <v>396</v>
      </c>
      <c r="L158" t="s">
        <v>306</v>
      </c>
      <c r="M158">
        <v>315</v>
      </c>
      <c r="N158">
        <v>11539874.468800001</v>
      </c>
      <c r="O158">
        <v>140903.22889999999</v>
      </c>
      <c r="Q158">
        <v>156</v>
      </c>
      <c r="R158" t="s">
        <v>304</v>
      </c>
      <c r="S158" t="s">
        <v>167</v>
      </c>
      <c r="T158" t="s">
        <v>396</v>
      </c>
      <c r="U158" t="s">
        <v>306</v>
      </c>
      <c r="V158">
        <v>315</v>
      </c>
      <c r="W158" t="s">
        <v>770</v>
      </c>
      <c r="X158" t="s">
        <v>771</v>
      </c>
    </row>
    <row r="159" spans="1:24" x14ac:dyDescent="0.25">
      <c r="A159" s="6">
        <v>158</v>
      </c>
      <c r="B159" s="12">
        <v>11541618.766000001</v>
      </c>
      <c r="C159" s="62">
        <v>137576.05099999899</v>
      </c>
      <c r="D159" s="12" t="s">
        <v>696</v>
      </c>
      <c r="E159" s="12" t="s">
        <v>697</v>
      </c>
      <c r="F159" s="12">
        <f t="shared" si="4"/>
        <v>103.68013333333333</v>
      </c>
      <c r="G159" s="12">
        <f t="shared" si="5"/>
        <v>1.2357666666666667</v>
      </c>
      <c r="H159">
        <v>157</v>
      </c>
      <c r="I159" t="s">
        <v>304</v>
      </c>
      <c r="J159" t="s">
        <v>165</v>
      </c>
      <c r="K159" t="s">
        <v>396</v>
      </c>
      <c r="L159" t="s">
        <v>306</v>
      </c>
      <c r="M159">
        <v>236</v>
      </c>
      <c r="N159">
        <v>11539882.406300001</v>
      </c>
      <c r="O159">
        <v>141014.3541</v>
      </c>
      <c r="Q159">
        <v>157</v>
      </c>
      <c r="R159" t="s">
        <v>304</v>
      </c>
      <c r="S159" t="s">
        <v>165</v>
      </c>
      <c r="T159" t="s">
        <v>396</v>
      </c>
      <c r="U159" t="s">
        <v>306</v>
      </c>
      <c r="V159">
        <v>236</v>
      </c>
      <c r="W159" t="s">
        <v>772</v>
      </c>
      <c r="X159" t="s">
        <v>773</v>
      </c>
    </row>
    <row r="160" spans="1:24" x14ac:dyDescent="0.25">
      <c r="A160" s="6">
        <v>159</v>
      </c>
      <c r="B160" s="12">
        <v>11541269.214592701</v>
      </c>
      <c r="C160" s="62">
        <v>136480.82134132501</v>
      </c>
      <c r="D160" s="12" t="s">
        <v>700</v>
      </c>
      <c r="E160" s="12" t="s">
        <v>701</v>
      </c>
      <c r="F160" s="12">
        <f t="shared" si="4"/>
        <v>103.67698333333334</v>
      </c>
      <c r="G160" s="12">
        <f t="shared" si="5"/>
        <v>1.2259333333333333</v>
      </c>
      <c r="H160">
        <v>158</v>
      </c>
      <c r="I160" t="s">
        <v>304</v>
      </c>
      <c r="J160" t="s">
        <v>774</v>
      </c>
      <c r="K160" t="s">
        <v>775</v>
      </c>
      <c r="L160" t="s">
        <v>311</v>
      </c>
      <c r="M160">
        <v>796</v>
      </c>
      <c r="N160">
        <v>11539648.249600001</v>
      </c>
      <c r="O160">
        <v>141442.98000000001</v>
      </c>
      <c r="Q160">
        <v>158</v>
      </c>
      <c r="R160" t="s">
        <v>304</v>
      </c>
      <c r="S160" t="s">
        <v>774</v>
      </c>
      <c r="T160" t="s">
        <v>775</v>
      </c>
      <c r="U160" t="s">
        <v>311</v>
      </c>
      <c r="V160">
        <v>796</v>
      </c>
      <c r="W160" t="s">
        <v>776</v>
      </c>
      <c r="X160" t="s">
        <v>777</v>
      </c>
    </row>
    <row r="161" spans="1:24" x14ac:dyDescent="0.25">
      <c r="A161" s="6">
        <v>160</v>
      </c>
      <c r="B161" s="12">
        <v>11541384.609300001</v>
      </c>
      <c r="C161" s="62">
        <v>137391.63610000201</v>
      </c>
      <c r="D161" s="12" t="s">
        <v>708</v>
      </c>
      <c r="E161" s="12" t="s">
        <v>709</v>
      </c>
      <c r="F161" s="12">
        <f t="shared" si="4"/>
        <v>103.67801666666666</v>
      </c>
      <c r="G161" s="12">
        <f t="shared" si="5"/>
        <v>1.2341166666666668</v>
      </c>
      <c r="H161">
        <v>159</v>
      </c>
      <c r="I161" t="s">
        <v>304</v>
      </c>
      <c r="J161" t="s">
        <v>175</v>
      </c>
      <c r="K161" t="s">
        <v>305</v>
      </c>
      <c r="L161" t="s">
        <v>306</v>
      </c>
      <c r="M161">
        <v>888</v>
      </c>
      <c r="N161">
        <v>11539525.2181</v>
      </c>
      <c r="O161">
        <v>141478.698800001</v>
      </c>
      <c r="Q161">
        <v>159</v>
      </c>
      <c r="R161" t="s">
        <v>304</v>
      </c>
      <c r="S161" t="s">
        <v>175</v>
      </c>
      <c r="T161" t="s">
        <v>305</v>
      </c>
      <c r="U161" t="s">
        <v>306</v>
      </c>
      <c r="V161">
        <v>888</v>
      </c>
      <c r="W161" t="s">
        <v>778</v>
      </c>
      <c r="X161" t="s">
        <v>779</v>
      </c>
    </row>
    <row r="162" spans="1:24" x14ac:dyDescent="0.25">
      <c r="A162" s="6">
        <v>161</v>
      </c>
      <c r="B162" s="12">
        <v>11541302.588300001</v>
      </c>
      <c r="C162" s="62">
        <v>137450.50600000101</v>
      </c>
      <c r="D162" s="12" t="s">
        <v>713</v>
      </c>
      <c r="E162" s="12" t="s">
        <v>714</v>
      </c>
      <c r="F162" s="12">
        <f t="shared" si="4"/>
        <v>103.67728333333334</v>
      </c>
      <c r="G162" s="12">
        <f t="shared" si="5"/>
        <v>1.23465</v>
      </c>
      <c r="H162">
        <v>160</v>
      </c>
      <c r="I162" t="s">
        <v>304</v>
      </c>
      <c r="J162" t="s">
        <v>174</v>
      </c>
      <c r="K162" t="s">
        <v>396</v>
      </c>
      <c r="L162" t="s">
        <v>306</v>
      </c>
      <c r="M162">
        <v>780</v>
      </c>
      <c r="N162">
        <v>11539616.499500001</v>
      </c>
      <c r="O162">
        <v>141538.23019999999</v>
      </c>
      <c r="Q162">
        <v>160</v>
      </c>
      <c r="R162" t="s">
        <v>304</v>
      </c>
      <c r="S162" t="s">
        <v>174</v>
      </c>
      <c r="T162" t="s">
        <v>396</v>
      </c>
      <c r="U162" t="s">
        <v>306</v>
      </c>
      <c r="V162">
        <v>780</v>
      </c>
      <c r="W162" t="s">
        <v>780</v>
      </c>
      <c r="X162" t="s">
        <v>781</v>
      </c>
    </row>
    <row r="163" spans="1:24" x14ac:dyDescent="0.25">
      <c r="A163" s="6">
        <v>162</v>
      </c>
      <c r="B163" s="12">
        <v>11541133.2546</v>
      </c>
      <c r="C163" s="62">
        <v>137246.11489999999</v>
      </c>
      <c r="D163" s="12" t="s">
        <v>706</v>
      </c>
      <c r="E163" s="12" t="s">
        <v>707</v>
      </c>
      <c r="F163" s="12">
        <f t="shared" si="4"/>
        <v>103.67576666666666</v>
      </c>
      <c r="G163" s="12">
        <f t="shared" si="5"/>
        <v>1.2328000000000001</v>
      </c>
      <c r="H163">
        <v>161</v>
      </c>
      <c r="I163" t="s">
        <v>304</v>
      </c>
      <c r="J163" t="s">
        <v>170</v>
      </c>
      <c r="K163" t="s">
        <v>305</v>
      </c>
      <c r="L163" t="s">
        <v>306</v>
      </c>
      <c r="M163">
        <v>307</v>
      </c>
      <c r="N163">
        <v>11540009.4066</v>
      </c>
      <c r="O163">
        <v>141260.41710000101</v>
      </c>
      <c r="Q163">
        <v>161</v>
      </c>
      <c r="R163" t="s">
        <v>304</v>
      </c>
      <c r="S163" t="s">
        <v>170</v>
      </c>
      <c r="T163" t="s">
        <v>305</v>
      </c>
      <c r="U163" t="s">
        <v>306</v>
      </c>
      <c r="V163">
        <v>307</v>
      </c>
      <c r="W163" t="s">
        <v>782</v>
      </c>
      <c r="X163" t="s">
        <v>783</v>
      </c>
    </row>
    <row r="164" spans="1:24" x14ac:dyDescent="0.25">
      <c r="A164" s="6">
        <v>163</v>
      </c>
      <c r="B164" s="12">
        <v>11541106.7963</v>
      </c>
      <c r="C164" s="62">
        <v>137338.71930000201</v>
      </c>
      <c r="D164" s="12" t="s">
        <v>711</v>
      </c>
      <c r="E164" s="12" t="s">
        <v>712</v>
      </c>
      <c r="F164" s="12">
        <f t="shared" si="4"/>
        <v>103.67553333333333</v>
      </c>
      <c r="G164" s="12">
        <f t="shared" si="5"/>
        <v>1.2336333333333334</v>
      </c>
      <c r="H164">
        <v>162</v>
      </c>
      <c r="I164" t="s">
        <v>304</v>
      </c>
      <c r="J164" t="s">
        <v>172</v>
      </c>
      <c r="K164" t="s">
        <v>305</v>
      </c>
      <c r="L164" t="s">
        <v>306</v>
      </c>
      <c r="M164">
        <v>563</v>
      </c>
      <c r="N164">
        <v>11539846.6875</v>
      </c>
      <c r="O164">
        <v>141474.73000000001</v>
      </c>
      <c r="Q164">
        <v>162</v>
      </c>
      <c r="R164" t="s">
        <v>304</v>
      </c>
      <c r="S164" t="s">
        <v>172</v>
      </c>
      <c r="T164" t="s">
        <v>305</v>
      </c>
      <c r="U164" t="s">
        <v>306</v>
      </c>
      <c r="V164">
        <v>563</v>
      </c>
      <c r="W164" t="s">
        <v>784</v>
      </c>
      <c r="X164" t="s">
        <v>785</v>
      </c>
    </row>
    <row r="165" spans="1:24" x14ac:dyDescent="0.25">
      <c r="A165" s="6">
        <v>164</v>
      </c>
      <c r="B165" s="12">
        <v>11540951.3532</v>
      </c>
      <c r="C165" s="62">
        <v>137183.27629999799</v>
      </c>
      <c r="D165" s="12" t="s">
        <v>702</v>
      </c>
      <c r="E165" s="12" t="s">
        <v>703</v>
      </c>
      <c r="F165" s="12">
        <f t="shared" si="4"/>
        <v>103.67413333333333</v>
      </c>
      <c r="G165" s="12">
        <f t="shared" si="5"/>
        <v>1.2322500000000001</v>
      </c>
      <c r="H165">
        <v>163</v>
      </c>
      <c r="I165" t="s">
        <v>304</v>
      </c>
      <c r="J165" t="s">
        <v>786</v>
      </c>
      <c r="K165" t="s">
        <v>787</v>
      </c>
      <c r="L165" t="s">
        <v>311</v>
      </c>
      <c r="M165">
        <v>883</v>
      </c>
      <c r="N165">
        <v>11539838.75</v>
      </c>
      <c r="O165">
        <v>141700.94920000099</v>
      </c>
      <c r="Q165">
        <v>163</v>
      </c>
      <c r="R165" t="s">
        <v>304</v>
      </c>
      <c r="S165" t="s">
        <v>786</v>
      </c>
      <c r="T165" t="s">
        <v>787</v>
      </c>
      <c r="U165" t="s">
        <v>311</v>
      </c>
      <c r="V165">
        <v>883</v>
      </c>
      <c r="W165" t="s">
        <v>788</v>
      </c>
      <c r="X165" t="s">
        <v>789</v>
      </c>
    </row>
    <row r="166" spans="1:24" x14ac:dyDescent="0.25">
      <c r="A166" s="6">
        <v>165</v>
      </c>
      <c r="B166" s="12">
        <v>11541016.8377</v>
      </c>
      <c r="C166" s="62">
        <v>139471.92670000001</v>
      </c>
      <c r="D166" s="12" t="s">
        <v>736</v>
      </c>
      <c r="E166" s="12" t="s">
        <v>737</v>
      </c>
      <c r="F166" s="12">
        <f t="shared" si="4"/>
        <v>103.67471666666667</v>
      </c>
      <c r="G166" s="12">
        <f t="shared" si="5"/>
        <v>1.2527999999999999</v>
      </c>
      <c r="H166">
        <v>164</v>
      </c>
      <c r="I166" t="s">
        <v>304</v>
      </c>
      <c r="J166" t="s">
        <v>790</v>
      </c>
      <c r="K166" t="s">
        <v>791</v>
      </c>
      <c r="L166" t="s">
        <v>311</v>
      </c>
      <c r="M166">
        <v>1316</v>
      </c>
      <c r="N166">
        <v>11540176.0944</v>
      </c>
      <c r="O166">
        <v>141950.98099999901</v>
      </c>
      <c r="Q166">
        <v>164</v>
      </c>
      <c r="R166" t="s">
        <v>304</v>
      </c>
      <c r="S166" t="s">
        <v>790</v>
      </c>
      <c r="T166" t="s">
        <v>791</v>
      </c>
      <c r="U166" t="s">
        <v>311</v>
      </c>
      <c r="V166">
        <v>1316</v>
      </c>
      <c r="W166" t="s">
        <v>792</v>
      </c>
      <c r="X166" t="s">
        <v>793</v>
      </c>
    </row>
    <row r="167" spans="1:24" x14ac:dyDescent="0.25">
      <c r="A167" s="6">
        <v>166</v>
      </c>
      <c r="B167" s="12">
        <v>11541112.0879</v>
      </c>
      <c r="C167" s="62">
        <v>138657.00840000101</v>
      </c>
      <c r="D167" s="12" t="s">
        <v>721</v>
      </c>
      <c r="E167" s="12" t="s">
        <v>722</v>
      </c>
      <c r="F167" s="12">
        <f t="shared" si="4"/>
        <v>103.67556666666667</v>
      </c>
      <c r="G167" s="12">
        <f t="shared" si="5"/>
        <v>1.2454833333333333</v>
      </c>
      <c r="H167">
        <v>165</v>
      </c>
      <c r="I167" t="s">
        <v>304</v>
      </c>
      <c r="J167" t="s">
        <v>188</v>
      </c>
      <c r="K167" t="s">
        <v>396</v>
      </c>
      <c r="L167" t="s">
        <v>306</v>
      </c>
      <c r="M167">
        <v>1744</v>
      </c>
      <c r="N167">
        <v>11540501.532600001</v>
      </c>
      <c r="O167">
        <v>142191.4877</v>
      </c>
      <c r="Q167">
        <v>165</v>
      </c>
      <c r="R167" t="s">
        <v>304</v>
      </c>
      <c r="S167" t="s">
        <v>188</v>
      </c>
      <c r="T167" t="s">
        <v>396</v>
      </c>
      <c r="U167" t="s">
        <v>306</v>
      </c>
      <c r="V167">
        <v>1744</v>
      </c>
      <c r="W167" t="s">
        <v>794</v>
      </c>
      <c r="X167" t="s">
        <v>795</v>
      </c>
    </row>
    <row r="168" spans="1:24" x14ac:dyDescent="0.25">
      <c r="A168" s="6">
        <v>167</v>
      </c>
      <c r="B168" s="12">
        <v>11541149.129699999</v>
      </c>
      <c r="C168" s="62">
        <v>138551.174800001</v>
      </c>
      <c r="D168" s="12" t="s">
        <v>719</v>
      </c>
      <c r="E168" s="12" t="s">
        <v>720</v>
      </c>
      <c r="F168" s="12">
        <f t="shared" si="4"/>
        <v>103.6759</v>
      </c>
      <c r="G168" s="12">
        <f t="shared" si="5"/>
        <v>1.2445333333333333</v>
      </c>
      <c r="H168">
        <v>166</v>
      </c>
      <c r="I168" t="s">
        <v>304</v>
      </c>
      <c r="J168" t="s">
        <v>113</v>
      </c>
      <c r="K168" t="s">
        <v>305</v>
      </c>
      <c r="L168" t="s">
        <v>306</v>
      </c>
      <c r="M168">
        <v>1954</v>
      </c>
      <c r="N168">
        <v>11540902.3771</v>
      </c>
      <c r="O168">
        <v>142465.33199999901</v>
      </c>
      <c r="Q168">
        <v>166</v>
      </c>
      <c r="R168" t="s">
        <v>304</v>
      </c>
      <c r="S168" t="s">
        <v>113</v>
      </c>
      <c r="T168" t="s">
        <v>305</v>
      </c>
      <c r="U168" t="s">
        <v>306</v>
      </c>
      <c r="V168">
        <v>1954</v>
      </c>
      <c r="W168" t="s">
        <v>796</v>
      </c>
      <c r="X168" t="s">
        <v>335</v>
      </c>
    </row>
    <row r="169" spans="1:24" x14ac:dyDescent="0.25">
      <c r="A169" s="6">
        <v>168</v>
      </c>
      <c r="B169" s="12">
        <v>11540863.3791</v>
      </c>
      <c r="C169" s="62">
        <v>138641.133299999</v>
      </c>
      <c r="D169" s="12" t="s">
        <v>723</v>
      </c>
      <c r="E169" s="12" t="s">
        <v>724</v>
      </c>
      <c r="F169" s="12">
        <f t="shared" si="4"/>
        <v>103.67333333333333</v>
      </c>
      <c r="G169" s="12">
        <f t="shared" si="5"/>
        <v>1.2453333333333334</v>
      </c>
      <c r="H169">
        <v>167</v>
      </c>
      <c r="I169" t="s">
        <v>304</v>
      </c>
      <c r="J169" t="s">
        <v>177</v>
      </c>
      <c r="K169" t="s">
        <v>396</v>
      </c>
      <c r="L169" t="s">
        <v>306</v>
      </c>
      <c r="M169">
        <v>1176</v>
      </c>
      <c r="N169">
        <v>11540823.0019</v>
      </c>
      <c r="O169">
        <v>141727.14299999899</v>
      </c>
      <c r="Q169">
        <v>167</v>
      </c>
      <c r="R169" t="s">
        <v>304</v>
      </c>
      <c r="S169" t="s">
        <v>177</v>
      </c>
      <c r="T169" t="s">
        <v>396</v>
      </c>
      <c r="U169" t="s">
        <v>306</v>
      </c>
      <c r="V169">
        <v>1176</v>
      </c>
      <c r="W169" t="s">
        <v>797</v>
      </c>
      <c r="X169" t="s">
        <v>798</v>
      </c>
    </row>
    <row r="170" spans="1:24" x14ac:dyDescent="0.25">
      <c r="A170" s="6">
        <v>169</v>
      </c>
      <c r="B170" s="12">
        <v>11540937.4626</v>
      </c>
      <c r="C170" s="62">
        <v>138757.5502</v>
      </c>
      <c r="D170" s="12" t="s">
        <v>729</v>
      </c>
      <c r="E170" s="12" t="s">
        <v>730</v>
      </c>
      <c r="F170" s="12">
        <f t="shared" si="4"/>
        <v>103.67400000000001</v>
      </c>
      <c r="G170" s="12">
        <f t="shared" si="5"/>
        <v>1.2463833333333334</v>
      </c>
      <c r="H170">
        <v>168</v>
      </c>
      <c r="I170" t="s">
        <v>304</v>
      </c>
      <c r="J170" t="s">
        <v>117</v>
      </c>
      <c r="K170" t="s">
        <v>396</v>
      </c>
      <c r="L170" t="s">
        <v>306</v>
      </c>
      <c r="M170">
        <v>1631</v>
      </c>
      <c r="N170">
        <v>11540985.721000001</v>
      </c>
      <c r="O170">
        <v>141842.23699999999</v>
      </c>
      <c r="Q170">
        <v>168</v>
      </c>
      <c r="R170" t="s">
        <v>304</v>
      </c>
      <c r="S170" t="s">
        <v>117</v>
      </c>
      <c r="T170" t="s">
        <v>396</v>
      </c>
      <c r="U170" t="s">
        <v>306</v>
      </c>
      <c r="V170">
        <v>1631</v>
      </c>
      <c r="W170" t="s">
        <v>799</v>
      </c>
      <c r="X170" t="s">
        <v>800</v>
      </c>
    </row>
    <row r="171" spans="1:24" x14ac:dyDescent="0.25">
      <c r="A171" s="6">
        <v>170</v>
      </c>
      <c r="B171" s="12">
        <v>11539882.406300001</v>
      </c>
      <c r="C171" s="62">
        <v>141014.3541</v>
      </c>
      <c r="D171" s="12" t="s">
        <v>772</v>
      </c>
      <c r="E171" s="12" t="s">
        <v>773</v>
      </c>
      <c r="F171" s="12">
        <f t="shared" si="4"/>
        <v>103.66453333333334</v>
      </c>
      <c r="G171" s="12">
        <f t="shared" si="5"/>
        <v>1.2666500000000001</v>
      </c>
      <c r="H171">
        <v>169</v>
      </c>
      <c r="I171" t="s">
        <v>304</v>
      </c>
      <c r="J171" t="s">
        <v>112</v>
      </c>
      <c r="K171" t="s">
        <v>396</v>
      </c>
      <c r="L171" t="s">
        <v>306</v>
      </c>
      <c r="M171">
        <v>1726</v>
      </c>
      <c r="N171">
        <v>11541092.877499999</v>
      </c>
      <c r="O171">
        <v>142378.01940000101</v>
      </c>
      <c r="Q171">
        <v>169</v>
      </c>
      <c r="R171" t="s">
        <v>304</v>
      </c>
      <c r="S171" t="s">
        <v>112</v>
      </c>
      <c r="T171" t="s">
        <v>396</v>
      </c>
      <c r="U171" t="s">
        <v>306</v>
      </c>
      <c r="V171">
        <v>1726</v>
      </c>
      <c r="W171" t="s">
        <v>801</v>
      </c>
      <c r="X171" t="s">
        <v>478</v>
      </c>
    </row>
    <row r="172" spans="1:24" x14ac:dyDescent="0.25">
      <c r="A172" s="6">
        <v>171</v>
      </c>
      <c r="B172" s="12">
        <v>11539874.468800001</v>
      </c>
      <c r="C172" s="62">
        <v>140903.22889999999</v>
      </c>
      <c r="D172" s="12" t="s">
        <v>770</v>
      </c>
      <c r="E172" s="12" t="s">
        <v>771</v>
      </c>
      <c r="F172" s="12">
        <f t="shared" si="4"/>
        <v>103.66445</v>
      </c>
      <c r="G172" s="12">
        <f t="shared" si="5"/>
        <v>1.2656499999999999</v>
      </c>
      <c r="H172">
        <v>170</v>
      </c>
      <c r="I172" t="s">
        <v>304</v>
      </c>
      <c r="J172" t="s">
        <v>114</v>
      </c>
      <c r="K172" t="s">
        <v>396</v>
      </c>
      <c r="L172" t="s">
        <v>306</v>
      </c>
      <c r="M172">
        <v>1465</v>
      </c>
      <c r="N172">
        <v>11541243.690300001</v>
      </c>
      <c r="O172">
        <v>142159.7377</v>
      </c>
      <c r="Q172">
        <v>170</v>
      </c>
      <c r="R172" t="s">
        <v>304</v>
      </c>
      <c r="S172" t="s">
        <v>114</v>
      </c>
      <c r="T172" t="s">
        <v>396</v>
      </c>
      <c r="U172" t="s">
        <v>306</v>
      </c>
      <c r="V172">
        <v>1465</v>
      </c>
      <c r="W172" t="s">
        <v>802</v>
      </c>
      <c r="X172" t="s">
        <v>803</v>
      </c>
    </row>
    <row r="173" spans="1:24" x14ac:dyDescent="0.25">
      <c r="A173" s="6">
        <v>172</v>
      </c>
      <c r="B173" s="12">
        <v>11540009.4066</v>
      </c>
      <c r="C173" s="62">
        <v>141260.41710000101</v>
      </c>
      <c r="D173" s="12" t="s">
        <v>782</v>
      </c>
      <c r="E173" s="12" t="s">
        <v>783</v>
      </c>
      <c r="F173" s="12">
        <f t="shared" si="4"/>
        <v>103.66566666666667</v>
      </c>
      <c r="G173" s="12">
        <f t="shared" si="5"/>
        <v>1.2688666666666668</v>
      </c>
      <c r="H173">
        <v>171</v>
      </c>
      <c r="I173" t="s">
        <v>304</v>
      </c>
      <c r="J173" t="s">
        <v>116</v>
      </c>
      <c r="K173" t="s">
        <v>305</v>
      </c>
      <c r="L173" t="s">
        <v>306</v>
      </c>
      <c r="M173">
        <v>1247</v>
      </c>
      <c r="N173">
        <v>11541422.284399999</v>
      </c>
      <c r="O173">
        <v>142000.987300001</v>
      </c>
      <c r="Q173">
        <v>171</v>
      </c>
      <c r="R173" t="s">
        <v>304</v>
      </c>
      <c r="S173" t="s">
        <v>116</v>
      </c>
      <c r="T173" t="s">
        <v>305</v>
      </c>
      <c r="U173" t="s">
        <v>306</v>
      </c>
      <c r="V173">
        <v>1247</v>
      </c>
      <c r="W173" t="s">
        <v>804</v>
      </c>
      <c r="X173" t="s">
        <v>805</v>
      </c>
    </row>
    <row r="174" spans="1:24" x14ac:dyDescent="0.25">
      <c r="A174" s="6">
        <v>173</v>
      </c>
      <c r="B174" s="12">
        <v>11539846.6875</v>
      </c>
      <c r="C174" s="62">
        <v>141474.73000000001</v>
      </c>
      <c r="D174" s="12" t="s">
        <v>784</v>
      </c>
      <c r="E174" s="12" t="s">
        <v>785</v>
      </c>
      <c r="F174" s="12">
        <f t="shared" si="4"/>
        <v>103.66419999999999</v>
      </c>
      <c r="G174" s="12">
        <f t="shared" si="5"/>
        <v>1.2707833333333334</v>
      </c>
      <c r="H174">
        <v>172</v>
      </c>
      <c r="I174" t="s">
        <v>304</v>
      </c>
      <c r="J174" t="s">
        <v>806</v>
      </c>
      <c r="K174" t="s">
        <v>178</v>
      </c>
      <c r="L174" t="s">
        <v>311</v>
      </c>
      <c r="M174">
        <v>1239</v>
      </c>
      <c r="N174">
        <v>11540942.0647</v>
      </c>
      <c r="O174">
        <v>141663.642900001</v>
      </c>
      <c r="Q174">
        <v>172</v>
      </c>
      <c r="R174" t="s">
        <v>304</v>
      </c>
      <c r="S174" t="s">
        <v>806</v>
      </c>
      <c r="T174" t="s">
        <v>178</v>
      </c>
      <c r="U174" t="s">
        <v>311</v>
      </c>
      <c r="V174">
        <v>1239</v>
      </c>
      <c r="W174" t="s">
        <v>807</v>
      </c>
      <c r="X174" t="s">
        <v>808</v>
      </c>
    </row>
    <row r="175" spans="1:24" x14ac:dyDescent="0.25">
      <c r="A175" s="6">
        <v>174</v>
      </c>
      <c r="B175" s="12">
        <v>11539616.499500001</v>
      </c>
      <c r="C175" s="62">
        <v>141538.23019999999</v>
      </c>
      <c r="D175" s="12" t="s">
        <v>780</v>
      </c>
      <c r="E175" s="12" t="s">
        <v>781</v>
      </c>
      <c r="F175" s="12">
        <f t="shared" si="4"/>
        <v>103.66213333333333</v>
      </c>
      <c r="G175" s="12">
        <f t="shared" si="5"/>
        <v>1.27135</v>
      </c>
      <c r="H175">
        <v>173</v>
      </c>
      <c r="I175" t="s">
        <v>304</v>
      </c>
      <c r="J175" t="s">
        <v>809</v>
      </c>
      <c r="K175" t="s">
        <v>791</v>
      </c>
      <c r="L175" t="s">
        <v>311</v>
      </c>
      <c r="M175">
        <v>945</v>
      </c>
      <c r="N175">
        <v>11540739.658</v>
      </c>
      <c r="O175">
        <v>141520.76759999999</v>
      </c>
      <c r="Q175">
        <v>173</v>
      </c>
      <c r="R175" t="s">
        <v>304</v>
      </c>
      <c r="S175" t="s">
        <v>809</v>
      </c>
      <c r="T175" t="s">
        <v>791</v>
      </c>
      <c r="U175" t="s">
        <v>311</v>
      </c>
      <c r="V175">
        <v>945</v>
      </c>
      <c r="W175" t="s">
        <v>810</v>
      </c>
      <c r="X175" t="s">
        <v>811</v>
      </c>
    </row>
    <row r="176" spans="1:24" x14ac:dyDescent="0.25">
      <c r="A176" s="6">
        <v>175</v>
      </c>
      <c r="B176" s="12">
        <v>11539648.249600001</v>
      </c>
      <c r="C176" s="62">
        <v>141442.98000000001</v>
      </c>
      <c r="D176" s="12" t="s">
        <v>776</v>
      </c>
      <c r="E176" s="12" t="s">
        <v>777</v>
      </c>
      <c r="F176" s="12">
        <f t="shared" si="4"/>
        <v>103.66241666666667</v>
      </c>
      <c r="G176" s="12">
        <f t="shared" si="5"/>
        <v>1.2705</v>
      </c>
      <c r="H176">
        <v>174</v>
      </c>
      <c r="I176" t="s">
        <v>304</v>
      </c>
      <c r="J176" t="s">
        <v>140</v>
      </c>
      <c r="K176" t="s">
        <v>305</v>
      </c>
      <c r="L176" t="s">
        <v>306</v>
      </c>
      <c r="M176">
        <v>900</v>
      </c>
      <c r="N176">
        <v>11540628.5328109</v>
      </c>
      <c r="O176">
        <v>141187.391970489</v>
      </c>
      <c r="Q176">
        <v>174</v>
      </c>
      <c r="R176" t="s">
        <v>304</v>
      </c>
      <c r="S176" t="s">
        <v>140</v>
      </c>
      <c r="T176" t="s">
        <v>305</v>
      </c>
      <c r="U176" t="s">
        <v>306</v>
      </c>
      <c r="V176">
        <v>900</v>
      </c>
      <c r="W176" t="s">
        <v>812</v>
      </c>
      <c r="X176" t="s">
        <v>813</v>
      </c>
    </row>
    <row r="177" spans="1:24" x14ac:dyDescent="0.25">
      <c r="A177" s="6">
        <v>176</v>
      </c>
      <c r="B177" s="12">
        <v>11539525.2181</v>
      </c>
      <c r="C177" s="62">
        <v>141478.698800001</v>
      </c>
      <c r="D177" s="12" t="s">
        <v>778</v>
      </c>
      <c r="E177" s="12" t="s">
        <v>779</v>
      </c>
      <c r="F177" s="12">
        <f t="shared" si="4"/>
        <v>103.66131666666666</v>
      </c>
      <c r="G177" s="12">
        <f t="shared" si="5"/>
        <v>1.2708166666666667</v>
      </c>
      <c r="H177">
        <v>175</v>
      </c>
      <c r="I177" t="s">
        <v>304</v>
      </c>
      <c r="J177" t="s">
        <v>814</v>
      </c>
      <c r="K177" t="s">
        <v>791</v>
      </c>
      <c r="L177" t="s">
        <v>311</v>
      </c>
      <c r="M177">
        <v>1138</v>
      </c>
      <c r="N177">
        <v>11540771.4081</v>
      </c>
      <c r="O177">
        <v>140988.95410000201</v>
      </c>
      <c r="Q177">
        <v>175</v>
      </c>
      <c r="R177" t="s">
        <v>304</v>
      </c>
      <c r="S177" t="s">
        <v>814</v>
      </c>
      <c r="T177" t="s">
        <v>791</v>
      </c>
      <c r="U177" t="s">
        <v>311</v>
      </c>
      <c r="V177">
        <v>1138</v>
      </c>
      <c r="W177" t="s">
        <v>815</v>
      </c>
      <c r="X177" t="s">
        <v>816</v>
      </c>
    </row>
    <row r="178" spans="1:24" x14ac:dyDescent="0.25">
      <c r="A178" s="6">
        <v>177</v>
      </c>
      <c r="B178" s="12">
        <v>11539838.75</v>
      </c>
      <c r="C178" s="62">
        <v>141700.94920000099</v>
      </c>
      <c r="D178" s="12" t="s">
        <v>788</v>
      </c>
      <c r="E178" s="12" t="s">
        <v>789</v>
      </c>
      <c r="F178" s="12">
        <f t="shared" si="4"/>
        <v>103.66413333333334</v>
      </c>
      <c r="G178" s="12">
        <f t="shared" si="5"/>
        <v>1.2728166666666667</v>
      </c>
      <c r="H178">
        <v>176</v>
      </c>
      <c r="I178" t="s">
        <v>304</v>
      </c>
      <c r="J178" t="s">
        <v>140</v>
      </c>
      <c r="K178" t="s">
        <v>305</v>
      </c>
      <c r="L178" t="s">
        <v>306</v>
      </c>
      <c r="M178">
        <v>715</v>
      </c>
      <c r="N178">
        <v>11541585.0035</v>
      </c>
      <c r="O178">
        <v>141199.29819999999</v>
      </c>
      <c r="Q178">
        <v>176</v>
      </c>
      <c r="R178" t="s">
        <v>304</v>
      </c>
      <c r="S178" t="s">
        <v>140</v>
      </c>
      <c r="T178" t="s">
        <v>305</v>
      </c>
      <c r="U178" t="s">
        <v>306</v>
      </c>
      <c r="V178">
        <v>715</v>
      </c>
      <c r="W178" t="s">
        <v>817</v>
      </c>
      <c r="X178" t="s">
        <v>818</v>
      </c>
    </row>
    <row r="179" spans="1:24" x14ac:dyDescent="0.25">
      <c r="A179" s="6">
        <v>178</v>
      </c>
      <c r="B179" s="12">
        <v>11540176.0944</v>
      </c>
      <c r="C179" s="62">
        <v>141950.98099999901</v>
      </c>
      <c r="D179" s="12" t="s">
        <v>792</v>
      </c>
      <c r="E179" s="12" t="s">
        <v>793</v>
      </c>
      <c r="F179" s="12">
        <f t="shared" si="4"/>
        <v>103.66716666666667</v>
      </c>
      <c r="G179" s="12">
        <f t="shared" si="5"/>
        <v>1.2750666666666666</v>
      </c>
      <c r="H179">
        <v>177</v>
      </c>
      <c r="I179" t="s">
        <v>304</v>
      </c>
      <c r="J179" t="s">
        <v>819</v>
      </c>
      <c r="K179" t="s">
        <v>820</v>
      </c>
      <c r="L179" t="s">
        <v>311</v>
      </c>
      <c r="M179">
        <v>459</v>
      </c>
      <c r="N179">
        <v>11541799.316400001</v>
      </c>
      <c r="O179">
        <v>141358.04859999899</v>
      </c>
      <c r="Q179">
        <v>177</v>
      </c>
      <c r="R179" t="s">
        <v>304</v>
      </c>
      <c r="S179" t="s">
        <v>819</v>
      </c>
      <c r="T179" t="s">
        <v>820</v>
      </c>
      <c r="U179" t="s">
        <v>311</v>
      </c>
      <c r="V179">
        <v>459</v>
      </c>
      <c r="W179" t="s">
        <v>821</v>
      </c>
      <c r="X179" t="s">
        <v>822</v>
      </c>
    </row>
    <row r="180" spans="1:24" x14ac:dyDescent="0.25">
      <c r="A180" s="6">
        <v>179</v>
      </c>
      <c r="B180" s="12">
        <v>11540501.532600001</v>
      </c>
      <c r="C180" s="62">
        <v>142191.4877</v>
      </c>
      <c r="D180" s="12" t="s">
        <v>794</v>
      </c>
      <c r="E180" s="12" t="s">
        <v>795</v>
      </c>
      <c r="F180" s="12">
        <f t="shared" si="4"/>
        <v>103.67008333333334</v>
      </c>
      <c r="G180" s="12">
        <f t="shared" si="5"/>
        <v>1.2772166666666667</v>
      </c>
      <c r="H180">
        <v>178</v>
      </c>
      <c r="I180" t="s">
        <v>304</v>
      </c>
      <c r="J180" t="s">
        <v>823</v>
      </c>
      <c r="K180" t="s">
        <v>824</v>
      </c>
      <c r="L180" t="s">
        <v>311</v>
      </c>
      <c r="M180">
        <v>326</v>
      </c>
      <c r="N180">
        <v>11541902.5041</v>
      </c>
      <c r="O180">
        <v>141425.51740000001</v>
      </c>
      <c r="Q180">
        <v>178</v>
      </c>
      <c r="R180" t="s">
        <v>304</v>
      </c>
      <c r="S180" t="s">
        <v>823</v>
      </c>
      <c r="T180" t="s">
        <v>824</v>
      </c>
      <c r="U180" t="s">
        <v>311</v>
      </c>
      <c r="V180">
        <v>326</v>
      </c>
      <c r="W180" t="s">
        <v>825</v>
      </c>
      <c r="X180" t="s">
        <v>826</v>
      </c>
    </row>
    <row r="181" spans="1:24" x14ac:dyDescent="0.25">
      <c r="A181" s="6">
        <v>180</v>
      </c>
      <c r="B181" s="12">
        <v>11540739.658</v>
      </c>
      <c r="C181" s="62">
        <v>141520.76759999999</v>
      </c>
      <c r="D181" s="12" t="s">
        <v>810</v>
      </c>
      <c r="E181" s="12" t="s">
        <v>811</v>
      </c>
      <c r="F181" s="12">
        <f t="shared" si="4"/>
        <v>103.67223333333334</v>
      </c>
      <c r="G181" s="12">
        <f t="shared" si="5"/>
        <v>1.2711999999999999</v>
      </c>
      <c r="H181">
        <v>179</v>
      </c>
      <c r="I181" t="s">
        <v>304</v>
      </c>
      <c r="J181" t="s">
        <v>443</v>
      </c>
      <c r="K181" t="s">
        <v>827</v>
      </c>
      <c r="L181" t="s">
        <v>306</v>
      </c>
      <c r="M181">
        <v>1731</v>
      </c>
      <c r="N181">
        <v>11544910.9735587</v>
      </c>
      <c r="O181">
        <v>143771.05844824799</v>
      </c>
      <c r="Q181">
        <v>179</v>
      </c>
      <c r="R181" t="s">
        <v>304</v>
      </c>
      <c r="S181" t="s">
        <v>443</v>
      </c>
      <c r="T181" t="s">
        <v>827</v>
      </c>
      <c r="U181" t="s">
        <v>306</v>
      </c>
      <c r="V181">
        <v>1731</v>
      </c>
      <c r="W181" t="s">
        <v>828</v>
      </c>
      <c r="X181" t="s">
        <v>829</v>
      </c>
    </row>
    <row r="182" spans="1:24" x14ac:dyDescent="0.25">
      <c r="A182" s="6">
        <v>181</v>
      </c>
      <c r="B182" s="12">
        <v>11540823.0019</v>
      </c>
      <c r="C182" s="62">
        <v>141727.14299999899</v>
      </c>
      <c r="D182" s="12" t="s">
        <v>797</v>
      </c>
      <c r="E182" s="12" t="s">
        <v>798</v>
      </c>
      <c r="F182" s="12">
        <f t="shared" si="4"/>
        <v>103.67298333333333</v>
      </c>
      <c r="G182" s="12">
        <f t="shared" si="5"/>
        <v>1.27305</v>
      </c>
      <c r="H182">
        <v>180</v>
      </c>
      <c r="I182" t="s">
        <v>304</v>
      </c>
      <c r="J182" t="s">
        <v>167</v>
      </c>
      <c r="K182" t="s">
        <v>396</v>
      </c>
      <c r="L182" t="s">
        <v>306</v>
      </c>
      <c r="M182">
        <v>315</v>
      </c>
      <c r="N182">
        <v>11539530.8986161</v>
      </c>
      <c r="O182">
        <v>140725.14337166399</v>
      </c>
      <c r="Q182">
        <v>180</v>
      </c>
      <c r="R182" t="s">
        <v>304</v>
      </c>
      <c r="S182" t="s">
        <v>167</v>
      </c>
      <c r="T182" t="s">
        <v>396</v>
      </c>
      <c r="U182" t="s">
        <v>306</v>
      </c>
      <c r="V182">
        <v>315</v>
      </c>
      <c r="W182" t="s">
        <v>830</v>
      </c>
      <c r="X182" t="s">
        <v>831</v>
      </c>
    </row>
    <row r="183" spans="1:24" x14ac:dyDescent="0.25">
      <c r="A183" s="6">
        <v>182</v>
      </c>
      <c r="B183" s="12">
        <v>11540942.0647</v>
      </c>
      <c r="C183" s="62">
        <v>141663.642900001</v>
      </c>
      <c r="D183" s="12" t="s">
        <v>807</v>
      </c>
      <c r="E183" s="12" t="s">
        <v>808</v>
      </c>
      <c r="F183" s="12">
        <f t="shared" si="4"/>
        <v>103.67404999999999</v>
      </c>
      <c r="G183" s="12">
        <f t="shared" si="5"/>
        <v>1.2724833333333334</v>
      </c>
      <c r="H183">
        <v>181</v>
      </c>
      <c r="I183" t="s">
        <v>304</v>
      </c>
      <c r="J183" t="s">
        <v>167</v>
      </c>
      <c r="K183" t="s">
        <v>396</v>
      </c>
      <c r="L183" t="s">
        <v>306</v>
      </c>
      <c r="M183">
        <v>315</v>
      </c>
      <c r="N183">
        <v>11539213.3979811</v>
      </c>
      <c r="O183">
        <v>141208.53808845201</v>
      </c>
      <c r="Q183">
        <v>181</v>
      </c>
      <c r="R183" t="s">
        <v>304</v>
      </c>
      <c r="S183" t="s">
        <v>167</v>
      </c>
      <c r="T183" t="s">
        <v>396</v>
      </c>
      <c r="U183" t="s">
        <v>306</v>
      </c>
      <c r="V183">
        <v>315</v>
      </c>
      <c r="W183" t="s">
        <v>832</v>
      </c>
      <c r="X183" t="s">
        <v>833</v>
      </c>
    </row>
    <row r="184" spans="1:24" x14ac:dyDescent="0.25">
      <c r="A184" s="6">
        <v>183</v>
      </c>
      <c r="B184" s="12">
        <v>11540628.5328109</v>
      </c>
      <c r="C184" s="62">
        <v>141187.391970489</v>
      </c>
      <c r="D184" s="12" t="s">
        <v>812</v>
      </c>
      <c r="E184" s="12" t="s">
        <v>813</v>
      </c>
      <c r="F184" s="12">
        <f t="shared" si="4"/>
        <v>103.67123333333333</v>
      </c>
      <c r="G184" s="12">
        <f t="shared" si="5"/>
        <v>1.2682</v>
      </c>
      <c r="H184">
        <v>182</v>
      </c>
      <c r="I184" t="s">
        <v>304</v>
      </c>
      <c r="J184" t="s">
        <v>167</v>
      </c>
      <c r="K184" t="s">
        <v>396</v>
      </c>
      <c r="L184" t="s">
        <v>306</v>
      </c>
      <c r="M184">
        <v>315</v>
      </c>
      <c r="N184">
        <v>11539787.5449627</v>
      </c>
      <c r="O184">
        <v>139846.72494815299</v>
      </c>
      <c r="Q184">
        <v>182</v>
      </c>
      <c r="R184" t="s">
        <v>304</v>
      </c>
      <c r="S184" t="s">
        <v>167</v>
      </c>
      <c r="T184" t="s">
        <v>396</v>
      </c>
      <c r="U184" t="s">
        <v>306</v>
      </c>
      <c r="V184">
        <v>315</v>
      </c>
      <c r="W184" t="s">
        <v>834</v>
      </c>
      <c r="X184" t="s">
        <v>835</v>
      </c>
    </row>
    <row r="185" spans="1:24" x14ac:dyDescent="0.25">
      <c r="A185" s="6">
        <v>184</v>
      </c>
      <c r="B185" s="12">
        <v>11540771.4081</v>
      </c>
      <c r="C185" s="62">
        <v>140988.95410000201</v>
      </c>
      <c r="D185" s="12" t="s">
        <v>815</v>
      </c>
      <c r="E185" s="12" t="s">
        <v>816</v>
      </c>
      <c r="F185" s="12">
        <f t="shared" si="4"/>
        <v>103.67251666666667</v>
      </c>
      <c r="G185" s="12">
        <f t="shared" si="5"/>
        <v>1.2664166666666667</v>
      </c>
      <c r="H185">
        <v>183</v>
      </c>
      <c r="I185" t="s">
        <v>304</v>
      </c>
      <c r="J185" t="s">
        <v>193</v>
      </c>
      <c r="K185" t="s">
        <v>396</v>
      </c>
      <c r="L185" t="s">
        <v>306</v>
      </c>
      <c r="M185">
        <v>380</v>
      </c>
      <c r="N185">
        <v>11542348.7167517</v>
      </c>
      <c r="O185">
        <v>139506.602392901</v>
      </c>
      <c r="Q185">
        <v>183</v>
      </c>
      <c r="R185" t="s">
        <v>304</v>
      </c>
      <c r="S185" t="s">
        <v>193</v>
      </c>
      <c r="T185" t="s">
        <v>396</v>
      </c>
      <c r="U185" t="s">
        <v>306</v>
      </c>
      <c r="V185">
        <v>380</v>
      </c>
      <c r="W185" t="s">
        <v>836</v>
      </c>
      <c r="X185" t="s">
        <v>837</v>
      </c>
    </row>
    <row r="186" spans="1:24" x14ac:dyDescent="0.25">
      <c r="A186" s="6">
        <v>185</v>
      </c>
      <c r="B186" s="12">
        <v>11540719.814200001</v>
      </c>
      <c r="C186" s="62">
        <v>140573.822000001</v>
      </c>
      <c r="D186" s="12" t="s">
        <v>763</v>
      </c>
      <c r="E186" s="12" t="s">
        <v>764</v>
      </c>
      <c r="F186" s="12">
        <f t="shared" si="4"/>
        <v>103.67205</v>
      </c>
      <c r="G186" s="12">
        <f t="shared" si="5"/>
        <v>1.2626999999999999</v>
      </c>
      <c r="H186">
        <v>184</v>
      </c>
      <c r="I186" t="s">
        <v>304</v>
      </c>
      <c r="J186" t="s">
        <v>193</v>
      </c>
      <c r="K186" t="s">
        <v>396</v>
      </c>
      <c r="L186" t="s">
        <v>306</v>
      </c>
      <c r="M186">
        <v>380</v>
      </c>
      <c r="N186">
        <v>11543471.451666201</v>
      </c>
      <c r="O186">
        <v>139812.74170022801</v>
      </c>
      <c r="Q186">
        <v>184</v>
      </c>
      <c r="R186" t="s">
        <v>304</v>
      </c>
      <c r="S186" t="s">
        <v>193</v>
      </c>
      <c r="T186" t="s">
        <v>396</v>
      </c>
      <c r="U186" t="s">
        <v>306</v>
      </c>
      <c r="V186">
        <v>380</v>
      </c>
      <c r="W186" t="s">
        <v>838</v>
      </c>
      <c r="X186" t="s">
        <v>839</v>
      </c>
    </row>
    <row r="187" spans="1:24" x14ac:dyDescent="0.25">
      <c r="A187" s="6">
        <v>186</v>
      </c>
      <c r="B187" s="12">
        <v>11540612.6578</v>
      </c>
      <c r="C187" s="62">
        <v>140494.44680000099</v>
      </c>
      <c r="D187" s="12" t="s">
        <v>761</v>
      </c>
      <c r="E187" s="12" t="s">
        <v>762</v>
      </c>
      <c r="F187" s="12">
        <f t="shared" si="4"/>
        <v>103.67108333333333</v>
      </c>
      <c r="G187" s="12">
        <f t="shared" si="5"/>
        <v>1.2619833333333332</v>
      </c>
      <c r="H187">
        <v>185</v>
      </c>
      <c r="I187" t="s">
        <v>304</v>
      </c>
      <c r="J187" t="s">
        <v>109</v>
      </c>
      <c r="K187" t="s">
        <v>396</v>
      </c>
      <c r="L187" t="s">
        <v>306</v>
      </c>
      <c r="M187">
        <v>871</v>
      </c>
      <c r="N187">
        <v>11543149.982273201</v>
      </c>
      <c r="O187">
        <v>140257.24258923499</v>
      </c>
      <c r="Q187">
        <v>185</v>
      </c>
      <c r="R187" t="s">
        <v>304</v>
      </c>
      <c r="S187" t="s">
        <v>109</v>
      </c>
      <c r="T187" t="s">
        <v>396</v>
      </c>
      <c r="U187" t="s">
        <v>306</v>
      </c>
      <c r="V187">
        <v>871</v>
      </c>
      <c r="W187" t="s">
        <v>840</v>
      </c>
      <c r="X187" t="s">
        <v>596</v>
      </c>
    </row>
    <row r="188" spans="1:24" x14ac:dyDescent="0.25">
      <c r="A188" s="6">
        <v>187</v>
      </c>
      <c r="B188" s="12">
        <v>11540191.9694</v>
      </c>
      <c r="C188" s="62">
        <v>140954.822799999</v>
      </c>
      <c r="D188" s="12" t="s">
        <v>768</v>
      </c>
      <c r="E188" s="12" t="s">
        <v>769</v>
      </c>
      <c r="F188" s="12">
        <f t="shared" si="4"/>
        <v>103.6673</v>
      </c>
      <c r="G188" s="12">
        <f t="shared" si="5"/>
        <v>1.2661166666666666</v>
      </c>
      <c r="H188">
        <v>186</v>
      </c>
      <c r="I188" t="s">
        <v>304</v>
      </c>
      <c r="J188" t="s">
        <v>109</v>
      </c>
      <c r="K188" t="s">
        <v>396</v>
      </c>
      <c r="L188" t="s">
        <v>306</v>
      </c>
      <c r="M188">
        <v>871</v>
      </c>
      <c r="N188">
        <v>11543102.357178001</v>
      </c>
      <c r="O188">
        <v>140431.86793847801</v>
      </c>
      <c r="Q188">
        <v>186</v>
      </c>
      <c r="R188" t="s">
        <v>304</v>
      </c>
      <c r="S188" t="s">
        <v>109</v>
      </c>
      <c r="T188" t="s">
        <v>396</v>
      </c>
      <c r="U188" t="s">
        <v>306</v>
      </c>
      <c r="V188">
        <v>871</v>
      </c>
      <c r="W188" t="s">
        <v>841</v>
      </c>
      <c r="X188" t="s">
        <v>842</v>
      </c>
    </row>
    <row r="189" spans="1:24" x14ac:dyDescent="0.25">
      <c r="A189" s="6">
        <v>188</v>
      </c>
      <c r="B189" s="12">
        <v>11540362.626</v>
      </c>
      <c r="C189" s="62">
        <v>140720.66600000099</v>
      </c>
      <c r="D189" s="12" t="s">
        <v>765</v>
      </c>
      <c r="E189" s="12" t="s">
        <v>766</v>
      </c>
      <c r="F189" s="12">
        <f t="shared" si="4"/>
        <v>103.66883333333334</v>
      </c>
      <c r="G189" s="12">
        <f t="shared" si="5"/>
        <v>1.2640166666666666</v>
      </c>
      <c r="H189">
        <v>187</v>
      </c>
      <c r="I189" t="s">
        <v>304</v>
      </c>
      <c r="J189" t="s">
        <v>193</v>
      </c>
      <c r="K189" t="s">
        <v>396</v>
      </c>
      <c r="L189" t="s">
        <v>306</v>
      </c>
      <c r="M189">
        <v>380</v>
      </c>
      <c r="N189">
        <v>11545353.8776532</v>
      </c>
      <c r="O189">
        <v>140302.39823510099</v>
      </c>
      <c r="Q189">
        <v>187</v>
      </c>
      <c r="R189" t="s">
        <v>304</v>
      </c>
      <c r="S189" t="s">
        <v>193</v>
      </c>
      <c r="T189" t="s">
        <v>396</v>
      </c>
      <c r="U189" t="s">
        <v>306</v>
      </c>
      <c r="V189">
        <v>380</v>
      </c>
      <c r="W189" t="s">
        <v>843</v>
      </c>
      <c r="X189" t="s">
        <v>844</v>
      </c>
    </row>
    <row r="190" spans="1:24" x14ac:dyDescent="0.25">
      <c r="A190" s="6">
        <v>189</v>
      </c>
      <c r="B190" s="12">
        <v>11540630.545299999</v>
      </c>
      <c r="C190" s="62">
        <v>140297.42830000099</v>
      </c>
      <c r="D190" s="12" t="s">
        <v>740</v>
      </c>
      <c r="E190" s="12" t="s">
        <v>741</v>
      </c>
      <c r="F190" s="12">
        <f t="shared" si="4"/>
        <v>103.67125</v>
      </c>
      <c r="G190" s="12">
        <f t="shared" si="5"/>
        <v>1.2602166666666665</v>
      </c>
      <c r="H190">
        <v>188</v>
      </c>
      <c r="I190" t="s">
        <v>304</v>
      </c>
      <c r="J190" t="s">
        <v>194</v>
      </c>
      <c r="K190" t="s">
        <v>305</v>
      </c>
      <c r="L190" t="s">
        <v>306</v>
      </c>
      <c r="M190">
        <v>625</v>
      </c>
      <c r="N190">
        <v>11546505.091330299</v>
      </c>
      <c r="O190">
        <v>143245.19802151999</v>
      </c>
      <c r="Q190">
        <v>188</v>
      </c>
      <c r="R190" t="s">
        <v>304</v>
      </c>
      <c r="S190" t="s">
        <v>194</v>
      </c>
      <c r="T190" t="s">
        <v>305</v>
      </c>
      <c r="U190" t="s">
        <v>306</v>
      </c>
      <c r="V190">
        <v>625</v>
      </c>
      <c r="W190" t="s">
        <v>845</v>
      </c>
      <c r="X190" t="s">
        <v>846</v>
      </c>
    </row>
    <row r="191" spans="1:24" x14ac:dyDescent="0.25">
      <c r="A191" s="6">
        <v>190</v>
      </c>
      <c r="B191" s="12">
        <v>11540762.837200001</v>
      </c>
      <c r="C191" s="62">
        <v>140011.67770000201</v>
      </c>
      <c r="D191" s="12" t="s">
        <v>738</v>
      </c>
      <c r="E191" s="12" t="s">
        <v>739</v>
      </c>
      <c r="F191" s="12">
        <f t="shared" si="4"/>
        <v>103.67243333333333</v>
      </c>
      <c r="G191" s="12">
        <f t="shared" si="5"/>
        <v>1.2576499999999999</v>
      </c>
      <c r="H191">
        <v>189</v>
      </c>
      <c r="I191" t="s">
        <v>304</v>
      </c>
      <c r="J191" t="s">
        <v>194</v>
      </c>
      <c r="K191" t="s">
        <v>305</v>
      </c>
      <c r="L191" t="s">
        <v>306</v>
      </c>
      <c r="M191">
        <v>625</v>
      </c>
      <c r="N191">
        <v>11547832.4247835</v>
      </c>
      <c r="O191">
        <v>141439.975400664</v>
      </c>
      <c r="Q191">
        <v>189</v>
      </c>
      <c r="R191" t="s">
        <v>304</v>
      </c>
      <c r="S191" t="s">
        <v>194</v>
      </c>
      <c r="T191" t="s">
        <v>305</v>
      </c>
      <c r="U191" t="s">
        <v>306</v>
      </c>
      <c r="V191">
        <v>625</v>
      </c>
      <c r="W191" t="s">
        <v>847</v>
      </c>
      <c r="X191" t="s">
        <v>848</v>
      </c>
    </row>
    <row r="192" spans="1:24" x14ac:dyDescent="0.25">
      <c r="A192" s="6">
        <v>191</v>
      </c>
      <c r="B192" s="12">
        <v>11540394.3761</v>
      </c>
      <c r="C192" s="62">
        <v>140347.60279999999</v>
      </c>
      <c r="D192" s="12" t="s">
        <v>759</v>
      </c>
      <c r="E192" s="12" t="s">
        <v>760</v>
      </c>
      <c r="F192" s="12">
        <f t="shared" si="4"/>
        <v>103.66913333333333</v>
      </c>
      <c r="G192" s="12">
        <f t="shared" si="5"/>
        <v>1.2606666666666666</v>
      </c>
      <c r="H192">
        <v>190</v>
      </c>
      <c r="I192" t="s">
        <v>304</v>
      </c>
      <c r="J192" t="s">
        <v>194</v>
      </c>
      <c r="K192" t="s">
        <v>305</v>
      </c>
      <c r="L192" t="s">
        <v>306</v>
      </c>
      <c r="M192">
        <v>625</v>
      </c>
      <c r="N192">
        <v>11547377.208248099</v>
      </c>
      <c r="O192">
        <v>142372.63351598399</v>
      </c>
      <c r="Q192">
        <v>190</v>
      </c>
      <c r="R192" t="s">
        <v>304</v>
      </c>
      <c r="S192" t="s">
        <v>194</v>
      </c>
      <c r="T192" t="s">
        <v>305</v>
      </c>
      <c r="U192" t="s">
        <v>306</v>
      </c>
      <c r="V192">
        <v>625</v>
      </c>
      <c r="W192" t="s">
        <v>849</v>
      </c>
      <c r="X192" t="s">
        <v>850</v>
      </c>
    </row>
    <row r="193" spans="1:24" x14ac:dyDescent="0.25">
      <c r="A193" s="6">
        <v>192</v>
      </c>
      <c r="B193" s="12">
        <v>11540154.294299999</v>
      </c>
      <c r="C193" s="62">
        <v>140161.96139999901</v>
      </c>
      <c r="D193" s="12" t="s">
        <v>755</v>
      </c>
      <c r="E193" s="12" t="s">
        <v>756</v>
      </c>
      <c r="F193" s="12">
        <f t="shared" si="4"/>
        <v>103.66696666666667</v>
      </c>
      <c r="G193" s="12">
        <f t="shared" si="5"/>
        <v>1.2589999999999999</v>
      </c>
      <c r="H193">
        <v>191</v>
      </c>
      <c r="I193" t="s">
        <v>304</v>
      </c>
      <c r="J193" t="s">
        <v>90</v>
      </c>
      <c r="K193" t="s">
        <v>305</v>
      </c>
      <c r="L193" t="s">
        <v>306</v>
      </c>
      <c r="M193">
        <v>2504</v>
      </c>
      <c r="N193">
        <v>11546287.3434589</v>
      </c>
      <c r="O193">
        <v>140371.18003881699</v>
      </c>
      <c r="Q193">
        <v>191</v>
      </c>
      <c r="R193" t="s">
        <v>304</v>
      </c>
      <c r="S193" t="s">
        <v>90</v>
      </c>
      <c r="T193" t="s">
        <v>305</v>
      </c>
      <c r="U193" t="s">
        <v>306</v>
      </c>
      <c r="V193">
        <v>2504</v>
      </c>
      <c r="W193" t="s">
        <v>851</v>
      </c>
      <c r="X193" t="s">
        <v>852</v>
      </c>
    </row>
    <row r="194" spans="1:24" x14ac:dyDescent="0.25">
      <c r="A194" s="6">
        <v>193</v>
      </c>
      <c r="B194" s="12">
        <v>11540318.336300001</v>
      </c>
      <c r="C194" s="62">
        <v>140080.46959999899</v>
      </c>
      <c r="D194" s="12" t="s">
        <v>734</v>
      </c>
      <c r="E194" s="12" t="s">
        <v>735</v>
      </c>
      <c r="F194" s="12">
        <f t="shared" si="4"/>
        <v>103.66845000000001</v>
      </c>
      <c r="G194" s="12">
        <f t="shared" si="5"/>
        <v>1.2582666666666666</v>
      </c>
      <c r="H194">
        <v>192</v>
      </c>
      <c r="I194" t="s">
        <v>304</v>
      </c>
      <c r="J194" t="s">
        <v>90</v>
      </c>
      <c r="K194" t="s">
        <v>305</v>
      </c>
      <c r="L194" t="s">
        <v>306</v>
      </c>
      <c r="M194">
        <v>2504</v>
      </c>
      <c r="N194">
        <v>11545493.591871399</v>
      </c>
      <c r="O194">
        <v>140791.20692054901</v>
      </c>
      <c r="Q194">
        <v>192</v>
      </c>
      <c r="R194" t="s">
        <v>304</v>
      </c>
      <c r="S194" t="s">
        <v>90</v>
      </c>
      <c r="T194" t="s">
        <v>305</v>
      </c>
      <c r="U194" t="s">
        <v>306</v>
      </c>
      <c r="V194">
        <v>2504</v>
      </c>
      <c r="W194" t="s">
        <v>853</v>
      </c>
      <c r="X194" t="s">
        <v>854</v>
      </c>
    </row>
    <row r="195" spans="1:24" x14ac:dyDescent="0.25">
      <c r="A195" s="6">
        <v>194</v>
      </c>
      <c r="B195" s="12">
        <v>11540238.961200001</v>
      </c>
      <c r="C195" s="62">
        <v>139858.21909999801</v>
      </c>
      <c r="D195" s="12" t="s">
        <v>727</v>
      </c>
      <c r="E195" s="12" t="s">
        <v>728</v>
      </c>
      <c r="F195" s="12">
        <f t="shared" ref="F195:F210" si="6">103+MID(D195,6,6)/60</f>
        <v>103.66773333333333</v>
      </c>
      <c r="G195" s="12">
        <f t="shared" ref="G195:G216" si="7">1+MID(E195,4,6)/60</f>
        <v>1.2562666666666666</v>
      </c>
      <c r="H195">
        <v>193</v>
      </c>
      <c r="I195" t="s">
        <v>304</v>
      </c>
      <c r="J195" t="s">
        <v>439</v>
      </c>
      <c r="K195" t="s">
        <v>305</v>
      </c>
      <c r="L195" t="s">
        <v>306</v>
      </c>
      <c r="M195">
        <v>1352</v>
      </c>
      <c r="N195">
        <v>11544889.017745599</v>
      </c>
      <c r="O195">
        <v>141624.646087423</v>
      </c>
      <c r="Q195">
        <v>193</v>
      </c>
      <c r="R195" t="s">
        <v>304</v>
      </c>
      <c r="S195" t="s">
        <v>439</v>
      </c>
      <c r="T195" t="s">
        <v>305</v>
      </c>
      <c r="U195" t="s">
        <v>306</v>
      </c>
      <c r="V195">
        <v>1352</v>
      </c>
      <c r="W195" t="s">
        <v>855</v>
      </c>
      <c r="X195" t="s">
        <v>856</v>
      </c>
    </row>
    <row r="196" spans="1:24" x14ac:dyDescent="0.25">
      <c r="A196" s="6">
        <v>195</v>
      </c>
      <c r="B196" s="12">
        <v>11540418.8782</v>
      </c>
      <c r="C196" s="62">
        <v>139852.92739999999</v>
      </c>
      <c r="D196" s="12" t="s">
        <v>731</v>
      </c>
      <c r="E196" s="12" t="s">
        <v>732</v>
      </c>
      <c r="F196" s="12">
        <f t="shared" si="6"/>
        <v>103.66934999999999</v>
      </c>
      <c r="G196" s="12">
        <f t="shared" si="7"/>
        <v>1.2562166666666665</v>
      </c>
      <c r="H196">
        <v>194</v>
      </c>
      <c r="I196" t="s">
        <v>304</v>
      </c>
      <c r="J196" t="s">
        <v>104</v>
      </c>
      <c r="K196" t="s">
        <v>305</v>
      </c>
      <c r="L196" t="s">
        <v>306</v>
      </c>
      <c r="M196">
        <v>754</v>
      </c>
      <c r="N196">
        <v>11546732.0391616</v>
      </c>
      <c r="O196">
        <v>141650.59389560801</v>
      </c>
      <c r="Q196">
        <v>194</v>
      </c>
      <c r="R196" t="s">
        <v>304</v>
      </c>
      <c r="S196" t="s">
        <v>104</v>
      </c>
      <c r="T196" t="s">
        <v>305</v>
      </c>
      <c r="U196" t="s">
        <v>306</v>
      </c>
      <c r="V196">
        <v>754</v>
      </c>
      <c r="W196" t="s">
        <v>857</v>
      </c>
      <c r="X196" t="s">
        <v>858</v>
      </c>
    </row>
    <row r="197" spans="1:24" x14ac:dyDescent="0.25">
      <c r="A197" s="6">
        <v>196</v>
      </c>
      <c r="B197" s="12">
        <v>11540381.8365</v>
      </c>
      <c r="C197" s="62">
        <v>139577.76020000101</v>
      </c>
      <c r="D197" s="12" t="s">
        <v>725</v>
      </c>
      <c r="E197" s="12" t="s">
        <v>726</v>
      </c>
      <c r="F197" s="12">
        <f t="shared" si="6"/>
        <v>103.66901666666666</v>
      </c>
      <c r="G197" s="12">
        <f t="shared" si="7"/>
        <v>1.2537499999999999</v>
      </c>
      <c r="H197">
        <v>195</v>
      </c>
      <c r="I197" t="s">
        <v>304</v>
      </c>
      <c r="J197" t="s">
        <v>97</v>
      </c>
      <c r="K197" t="s">
        <v>305</v>
      </c>
      <c r="L197" t="s">
        <v>306</v>
      </c>
      <c r="M197">
        <v>656</v>
      </c>
      <c r="N197">
        <v>11546018.702406101</v>
      </c>
      <c r="O197">
        <v>141793.19485709799</v>
      </c>
      <c r="Q197">
        <v>195</v>
      </c>
      <c r="R197" t="s">
        <v>304</v>
      </c>
      <c r="S197" t="s">
        <v>97</v>
      </c>
      <c r="T197" t="s">
        <v>305</v>
      </c>
      <c r="U197" t="s">
        <v>306</v>
      </c>
      <c r="V197">
        <v>656</v>
      </c>
      <c r="W197" t="s">
        <v>859</v>
      </c>
      <c r="X197" t="s">
        <v>860</v>
      </c>
    </row>
    <row r="198" spans="1:24" x14ac:dyDescent="0.25">
      <c r="A198" s="6">
        <v>197</v>
      </c>
      <c r="B198" s="12">
        <v>11541605.195</v>
      </c>
      <c r="C198" s="62">
        <v>140565.95919999899</v>
      </c>
      <c r="D198" s="12" t="s">
        <v>668</v>
      </c>
      <c r="E198" s="12" t="s">
        <v>669</v>
      </c>
      <c r="F198" s="12">
        <f t="shared" si="6"/>
        <v>103.68</v>
      </c>
      <c r="G198" s="12">
        <f t="shared" si="7"/>
        <v>1.2626166666666667</v>
      </c>
      <c r="H198">
        <v>0</v>
      </c>
      <c r="I198" t="s">
        <v>861</v>
      </c>
      <c r="K198">
        <v>1</v>
      </c>
      <c r="L198">
        <v>2763</v>
      </c>
      <c r="M198" t="s">
        <v>862</v>
      </c>
      <c r="N198">
        <v>11546715.097580601</v>
      </c>
      <c r="O198">
        <v>142586.47921935099</v>
      </c>
      <c r="Q198">
        <v>0</v>
      </c>
      <c r="R198" t="s">
        <v>861</v>
      </c>
      <c r="T198">
        <v>1</v>
      </c>
      <c r="U198">
        <v>2763</v>
      </c>
      <c r="V198" t="s">
        <v>862</v>
      </c>
      <c r="W198" t="s">
        <v>868</v>
      </c>
      <c r="X198" t="s">
        <v>869</v>
      </c>
    </row>
    <row r="199" spans="1:24" x14ac:dyDescent="0.25">
      <c r="A199" s="6">
        <v>198</v>
      </c>
      <c r="B199" s="12">
        <v>11541688.880799999</v>
      </c>
      <c r="C199" s="62">
        <v>139556.593499999</v>
      </c>
      <c r="D199" s="12" t="s">
        <v>742</v>
      </c>
      <c r="E199" s="12" t="s">
        <v>743</v>
      </c>
      <c r="F199" s="12">
        <f t="shared" si="6"/>
        <v>103.68075</v>
      </c>
      <c r="G199" s="12">
        <f t="shared" si="7"/>
        <v>1.2535499999999999</v>
      </c>
      <c r="H199">
        <v>1</v>
      </c>
      <c r="I199" t="s">
        <v>861</v>
      </c>
      <c r="K199">
        <v>2</v>
      </c>
      <c r="L199">
        <v>2605</v>
      </c>
      <c r="M199" t="s">
        <v>863</v>
      </c>
      <c r="N199">
        <v>11546855.327016</v>
      </c>
      <c r="O199">
        <v>142443.603946605</v>
      </c>
      <c r="Q199">
        <v>1</v>
      </c>
      <c r="R199" t="s">
        <v>861</v>
      </c>
      <c r="T199">
        <v>2</v>
      </c>
      <c r="U199">
        <v>2605</v>
      </c>
      <c r="V199" t="s">
        <v>863</v>
      </c>
      <c r="W199" t="s">
        <v>870</v>
      </c>
      <c r="X199" t="s">
        <v>871</v>
      </c>
    </row>
    <row r="200" spans="1:24" x14ac:dyDescent="0.25">
      <c r="A200" s="6">
        <v>199</v>
      </c>
      <c r="B200" s="12">
        <v>11541711.2557</v>
      </c>
      <c r="C200" s="62">
        <v>139690.561099999</v>
      </c>
      <c r="D200" s="12" t="s">
        <v>681</v>
      </c>
      <c r="E200" s="12" t="s">
        <v>682</v>
      </c>
      <c r="F200" s="12">
        <f t="shared" si="6"/>
        <v>103.68095</v>
      </c>
      <c r="G200" s="12">
        <f t="shared" si="7"/>
        <v>1.2547666666666666</v>
      </c>
      <c r="H200">
        <v>2</v>
      </c>
      <c r="I200" t="s">
        <v>861</v>
      </c>
      <c r="K200">
        <v>3</v>
      </c>
      <c r="L200">
        <v>2381</v>
      </c>
      <c r="M200" t="s">
        <v>864</v>
      </c>
      <c r="N200">
        <v>11547001.5096025</v>
      </c>
      <c r="O200">
        <v>142298.74428368799</v>
      </c>
      <c r="Q200">
        <v>2</v>
      </c>
      <c r="R200" t="s">
        <v>861</v>
      </c>
      <c r="T200">
        <v>3</v>
      </c>
      <c r="U200">
        <v>2381</v>
      </c>
      <c r="V200" t="s">
        <v>864</v>
      </c>
      <c r="W200" t="s">
        <v>872</v>
      </c>
      <c r="X200" t="s">
        <v>873</v>
      </c>
    </row>
    <row r="201" spans="1:24" x14ac:dyDescent="0.25">
      <c r="A201" s="6">
        <v>200</v>
      </c>
      <c r="B201" s="12">
        <v>11541561.765851101</v>
      </c>
      <c r="C201" s="62">
        <v>139933.97829312499</v>
      </c>
      <c r="D201" s="12" t="s">
        <v>679</v>
      </c>
      <c r="E201" s="12" t="s">
        <v>680</v>
      </c>
      <c r="F201" s="12">
        <f t="shared" si="6"/>
        <v>103.67961666666666</v>
      </c>
      <c r="G201" s="12">
        <f t="shared" si="7"/>
        <v>1.25695</v>
      </c>
      <c r="H201">
        <v>3</v>
      </c>
      <c r="I201" t="s">
        <v>861</v>
      </c>
      <c r="K201">
        <v>4</v>
      </c>
      <c r="L201">
        <v>1923</v>
      </c>
      <c r="M201" t="s">
        <v>865</v>
      </c>
      <c r="N201">
        <v>11544142.6187</v>
      </c>
      <c r="O201">
        <v>139622.53215000001</v>
      </c>
      <c r="Q201">
        <v>3</v>
      </c>
      <c r="R201" t="s">
        <v>861</v>
      </c>
      <c r="T201">
        <v>4</v>
      </c>
      <c r="U201">
        <v>1923</v>
      </c>
      <c r="V201" t="s">
        <v>865</v>
      </c>
      <c r="W201" t="s">
        <v>874</v>
      </c>
      <c r="X201" t="s">
        <v>875</v>
      </c>
    </row>
    <row r="202" spans="1:24" x14ac:dyDescent="0.25">
      <c r="A202" s="6">
        <v>201</v>
      </c>
      <c r="B202" s="12">
        <v>11541502.2345159</v>
      </c>
      <c r="C202" s="62">
        <v>139998.80133518699</v>
      </c>
      <c r="D202" s="12" t="s">
        <v>675</v>
      </c>
      <c r="E202" s="12" t="s">
        <v>676</v>
      </c>
      <c r="F202" s="12">
        <f t="shared" si="6"/>
        <v>103.67908333333334</v>
      </c>
      <c r="G202" s="12">
        <f t="shared" si="7"/>
        <v>1.2575333333333334</v>
      </c>
      <c r="H202">
        <v>4</v>
      </c>
      <c r="I202" t="s">
        <v>861</v>
      </c>
      <c r="K202">
        <v>5</v>
      </c>
      <c r="L202">
        <v>2062</v>
      </c>
      <c r="M202" t="s">
        <v>866</v>
      </c>
      <c r="N202">
        <v>11540941.35235</v>
      </c>
      <c r="O202">
        <v>142726.39460000099</v>
      </c>
      <c r="Q202">
        <v>4</v>
      </c>
      <c r="R202" t="s">
        <v>861</v>
      </c>
      <c r="T202">
        <v>5</v>
      </c>
      <c r="U202">
        <v>2062</v>
      </c>
      <c r="V202" t="s">
        <v>866</v>
      </c>
      <c r="W202" t="s">
        <v>876</v>
      </c>
      <c r="X202" t="s">
        <v>877</v>
      </c>
    </row>
    <row r="203" spans="1:24" x14ac:dyDescent="0.25">
      <c r="A203" s="6">
        <v>202</v>
      </c>
      <c r="B203" s="12">
        <v>11541196.754799999</v>
      </c>
      <c r="C203" s="62">
        <v>140196.88650000101</v>
      </c>
      <c r="D203" s="12" t="s">
        <v>746</v>
      </c>
      <c r="E203" s="12" t="s">
        <v>527</v>
      </c>
      <c r="F203" s="12">
        <f t="shared" si="6"/>
        <v>103.67633333333333</v>
      </c>
      <c r="G203" s="12">
        <f t="shared" si="7"/>
        <v>1.2593166666666666</v>
      </c>
      <c r="H203">
        <v>5</v>
      </c>
      <c r="I203" t="s">
        <v>861</v>
      </c>
      <c r="K203">
        <v>6</v>
      </c>
      <c r="L203">
        <v>2360</v>
      </c>
      <c r="M203" t="s">
        <v>867</v>
      </c>
      <c r="N203">
        <v>11545121.1340605</v>
      </c>
      <c r="O203">
        <v>144312.42423912699</v>
      </c>
      <c r="Q203">
        <v>5</v>
      </c>
      <c r="R203" t="s">
        <v>861</v>
      </c>
      <c r="T203">
        <v>6</v>
      </c>
      <c r="U203">
        <v>2360</v>
      </c>
      <c r="V203" t="s">
        <v>867</v>
      </c>
      <c r="W203" t="s">
        <v>878</v>
      </c>
      <c r="X203" t="s">
        <v>879</v>
      </c>
    </row>
    <row r="204" spans="1:24" x14ac:dyDescent="0.25">
      <c r="A204" s="6">
        <v>203</v>
      </c>
      <c r="B204" s="12">
        <v>11541038.0045</v>
      </c>
      <c r="C204" s="62">
        <v>140445.59529999999</v>
      </c>
      <c r="D204" s="12" t="s">
        <v>749</v>
      </c>
      <c r="E204" s="12" t="s">
        <v>750</v>
      </c>
      <c r="F204" s="12">
        <f t="shared" si="6"/>
        <v>103.67491666666666</v>
      </c>
      <c r="G204" s="12">
        <f t="shared" si="7"/>
        <v>1.2615499999999999</v>
      </c>
      <c r="H204">
        <v>6</v>
      </c>
      <c r="I204" t="s">
        <v>861</v>
      </c>
      <c r="K204">
        <v>0</v>
      </c>
      <c r="L204">
        <v>0</v>
      </c>
      <c r="M204" t="s">
        <v>865</v>
      </c>
      <c r="N204">
        <v>11541004.8801315</v>
      </c>
      <c r="O204">
        <v>140810.519495007</v>
      </c>
      <c r="Q204">
        <v>6</v>
      </c>
      <c r="R204" t="s">
        <v>861</v>
      </c>
      <c r="T204">
        <v>0</v>
      </c>
      <c r="U204">
        <v>0</v>
      </c>
      <c r="V204" t="s">
        <v>865</v>
      </c>
      <c r="W204" t="s">
        <v>880</v>
      </c>
      <c r="X204" t="s">
        <v>881</v>
      </c>
    </row>
    <row r="205" spans="1:24" x14ac:dyDescent="0.25">
      <c r="A205" s="6">
        <v>204</v>
      </c>
      <c r="B205" s="12">
        <v>11540953.3376</v>
      </c>
      <c r="C205" s="62">
        <v>140540.8455</v>
      </c>
      <c r="D205" s="12" t="s">
        <v>751</v>
      </c>
      <c r="E205" s="12" t="s">
        <v>752</v>
      </c>
      <c r="F205" s="12">
        <f t="shared" si="6"/>
        <v>103.67415</v>
      </c>
      <c r="G205" s="12">
        <f t="shared" si="7"/>
        <v>1.2624</v>
      </c>
      <c r="H205">
        <v>0</v>
      </c>
      <c r="I205" t="s">
        <v>304</v>
      </c>
      <c r="M205">
        <v>1</v>
      </c>
      <c r="N205">
        <v>11545942.8124</v>
      </c>
      <c r="O205">
        <v>142537.77899999899</v>
      </c>
      <c r="Q205">
        <v>0</v>
      </c>
      <c r="R205" t="s">
        <v>304</v>
      </c>
      <c r="V205">
        <v>1</v>
      </c>
      <c r="W205" t="s">
        <v>882</v>
      </c>
      <c r="X205" t="s">
        <v>883</v>
      </c>
    </row>
    <row r="206" spans="1:24" x14ac:dyDescent="0.25">
      <c r="A206" s="6">
        <v>205</v>
      </c>
      <c r="B206" s="12">
        <v>11541327.609099999</v>
      </c>
      <c r="C206" s="62">
        <v>140269.99979999999</v>
      </c>
      <c r="D206" s="12" t="s">
        <v>673</v>
      </c>
      <c r="E206" s="12" t="s">
        <v>674</v>
      </c>
      <c r="F206" s="12">
        <f t="shared" si="6"/>
        <v>103.67751666666666</v>
      </c>
      <c r="G206" s="12">
        <f t="shared" si="7"/>
        <v>1.2599666666666667</v>
      </c>
      <c r="H206">
        <v>1</v>
      </c>
      <c r="I206" t="s">
        <v>304</v>
      </c>
      <c r="M206">
        <v>2</v>
      </c>
      <c r="N206">
        <v>11544271.965399999</v>
      </c>
      <c r="O206">
        <v>141164.58879999799</v>
      </c>
      <c r="Q206">
        <v>1</v>
      </c>
      <c r="R206" t="s">
        <v>304</v>
      </c>
      <c r="V206">
        <v>2</v>
      </c>
      <c r="W206" t="s">
        <v>884</v>
      </c>
      <c r="X206" t="s">
        <v>885</v>
      </c>
    </row>
    <row r="207" spans="1:24" x14ac:dyDescent="0.25">
      <c r="A207" s="6">
        <v>206</v>
      </c>
      <c r="B207" s="12">
        <v>11541361.777799999</v>
      </c>
      <c r="C207" s="62">
        <v>140417.79219999901</v>
      </c>
      <c r="D207" s="12" t="s">
        <v>662</v>
      </c>
      <c r="E207" s="12" t="s">
        <v>663</v>
      </c>
      <c r="F207" s="12">
        <f t="shared" si="6"/>
        <v>103.67781666666667</v>
      </c>
      <c r="G207" s="12">
        <f t="shared" si="7"/>
        <v>1.2613000000000001</v>
      </c>
      <c r="H207">
        <v>2</v>
      </c>
      <c r="I207" t="s">
        <v>304</v>
      </c>
      <c r="M207">
        <v>3</v>
      </c>
      <c r="N207">
        <v>11542164.5549</v>
      </c>
      <c r="O207">
        <v>141490.02690000099</v>
      </c>
      <c r="Q207">
        <v>2</v>
      </c>
      <c r="R207" t="s">
        <v>304</v>
      </c>
      <c r="V207">
        <v>3</v>
      </c>
      <c r="W207" t="s">
        <v>886</v>
      </c>
      <c r="X207" t="s">
        <v>887</v>
      </c>
    </row>
    <row r="208" spans="1:24" x14ac:dyDescent="0.25">
      <c r="A208" s="6">
        <v>207</v>
      </c>
      <c r="B208" s="12">
        <v>11541525.819800001</v>
      </c>
      <c r="C208" s="62">
        <v>140584.48009999801</v>
      </c>
      <c r="D208" s="12" t="s">
        <v>665</v>
      </c>
      <c r="E208" s="12" t="s">
        <v>666</v>
      </c>
      <c r="F208" s="12">
        <f t="shared" si="6"/>
        <v>103.67928333333333</v>
      </c>
      <c r="G208" s="12">
        <f t="shared" si="7"/>
        <v>1.2627833333333334</v>
      </c>
      <c r="H208">
        <v>0</v>
      </c>
      <c r="I208" t="s">
        <v>304</v>
      </c>
      <c r="M208">
        <v>1</v>
      </c>
      <c r="N208">
        <v>11546142.8923</v>
      </c>
      <c r="O208">
        <v>143129.871800002</v>
      </c>
      <c r="Q208">
        <v>0</v>
      </c>
      <c r="R208" t="s">
        <v>304</v>
      </c>
      <c r="V208">
        <v>1</v>
      </c>
      <c r="W208" t="s">
        <v>888</v>
      </c>
      <c r="X208" t="s">
        <v>889</v>
      </c>
    </row>
    <row r="209" spans="1:24" x14ac:dyDescent="0.25">
      <c r="A209" s="6">
        <v>208</v>
      </c>
      <c r="B209" s="12">
        <v>11541605.195</v>
      </c>
      <c r="C209" s="62">
        <v>140565.95919999899</v>
      </c>
      <c r="D209" s="12" t="s">
        <v>668</v>
      </c>
      <c r="E209" s="12" t="s">
        <v>669</v>
      </c>
      <c r="F209" s="12">
        <f t="shared" si="6"/>
        <v>103.68</v>
      </c>
      <c r="G209" s="12">
        <f t="shared" si="7"/>
        <v>1.2626166666666667</v>
      </c>
      <c r="H209">
        <v>1</v>
      </c>
      <c r="I209" t="s">
        <v>304</v>
      </c>
      <c r="M209">
        <v>2</v>
      </c>
      <c r="N209">
        <v>11546448.4867</v>
      </c>
      <c r="O209">
        <v>141902.334899999</v>
      </c>
      <c r="Q209">
        <v>1</v>
      </c>
      <c r="R209" t="s">
        <v>304</v>
      </c>
      <c r="V209">
        <v>2</v>
      </c>
      <c r="W209" t="s">
        <v>890</v>
      </c>
      <c r="X209" t="s">
        <v>891</v>
      </c>
    </row>
    <row r="210" spans="1:24" x14ac:dyDescent="0.25">
      <c r="A210" s="6">
        <v>209</v>
      </c>
      <c r="B210" s="12">
        <v>11542086.737600001</v>
      </c>
      <c r="C210" s="62">
        <v>140147.91670000201</v>
      </c>
      <c r="D210" s="12" t="s">
        <v>670</v>
      </c>
      <c r="E210" s="12" t="s">
        <v>671</v>
      </c>
      <c r="F210" s="12">
        <f t="shared" si="6"/>
        <v>103.68433333333333</v>
      </c>
      <c r="G210" s="12">
        <f t="shared" si="7"/>
        <v>1.2588666666666666</v>
      </c>
      <c r="H210">
        <v>2</v>
      </c>
      <c r="I210" t="s">
        <v>304</v>
      </c>
      <c r="M210">
        <v>3</v>
      </c>
      <c r="N210">
        <v>11545305.4844</v>
      </c>
      <c r="O210">
        <v>142176.179200001</v>
      </c>
      <c r="Q210">
        <v>2</v>
      </c>
      <c r="R210" t="s">
        <v>304</v>
      </c>
      <c r="V210">
        <v>3</v>
      </c>
      <c r="W210" t="s">
        <v>892</v>
      </c>
      <c r="X210" t="s">
        <v>893</v>
      </c>
    </row>
    <row r="211" spans="1:24" x14ac:dyDescent="0.25">
      <c r="G211" t="e">
        <f t="shared" si="7"/>
        <v>#VALUE!</v>
      </c>
      <c r="H211">
        <v>3</v>
      </c>
      <c r="I211" t="s">
        <v>304</v>
      </c>
      <c r="M211">
        <v>4</v>
      </c>
      <c r="N211">
        <v>11544227.8343</v>
      </c>
      <c r="O211">
        <v>141114.13960000101</v>
      </c>
      <c r="Q211">
        <v>3</v>
      </c>
      <c r="R211" t="s">
        <v>304</v>
      </c>
      <c r="V211">
        <v>4</v>
      </c>
      <c r="W211" t="s">
        <v>894</v>
      </c>
      <c r="X211" t="s">
        <v>895</v>
      </c>
    </row>
    <row r="212" spans="1:24" x14ac:dyDescent="0.25">
      <c r="G212" t="e">
        <f t="shared" si="7"/>
        <v>#VALUE!</v>
      </c>
      <c r="H212">
        <v>4</v>
      </c>
      <c r="I212" t="s">
        <v>304</v>
      </c>
      <c r="M212">
        <v>5</v>
      </c>
      <c r="N212">
        <v>11543857.4169</v>
      </c>
      <c r="O212">
        <v>140386.53400000199</v>
      </c>
      <c r="Q212">
        <v>4</v>
      </c>
      <c r="R212" t="s">
        <v>304</v>
      </c>
      <c r="V212">
        <v>5</v>
      </c>
      <c r="W212" t="s">
        <v>896</v>
      </c>
      <c r="X212" t="s">
        <v>897</v>
      </c>
    </row>
    <row r="213" spans="1:24" x14ac:dyDescent="0.25">
      <c r="G213" t="e">
        <f t="shared" si="7"/>
        <v>#VALUE!</v>
      </c>
      <c r="H213">
        <v>5</v>
      </c>
      <c r="I213" t="s">
        <v>304</v>
      </c>
      <c r="M213">
        <v>6</v>
      </c>
      <c r="N213">
        <v>11542075.7797</v>
      </c>
      <c r="O213">
        <v>141579.92189999999</v>
      </c>
      <c r="Q213">
        <v>5</v>
      </c>
      <c r="R213" t="s">
        <v>304</v>
      </c>
      <c r="V213">
        <v>6</v>
      </c>
      <c r="W213" t="s">
        <v>898</v>
      </c>
      <c r="X213" t="s">
        <v>899</v>
      </c>
    </row>
    <row r="214" spans="1:24" x14ac:dyDescent="0.25">
      <c r="G214" t="e">
        <f t="shared" si="7"/>
        <v>#VALUE!</v>
      </c>
      <c r="H214">
        <v>6</v>
      </c>
      <c r="I214" t="s">
        <v>304</v>
      </c>
      <c r="M214">
        <v>7</v>
      </c>
      <c r="N214">
        <v>11541870.4256</v>
      </c>
      <c r="O214">
        <v>139228.51300000001</v>
      </c>
      <c r="Q214">
        <v>6</v>
      </c>
      <c r="R214" t="s">
        <v>304</v>
      </c>
      <c r="V214">
        <v>7</v>
      </c>
      <c r="W214" t="s">
        <v>900</v>
      </c>
      <c r="X214" t="s">
        <v>901</v>
      </c>
    </row>
    <row r="215" spans="1:24" x14ac:dyDescent="0.25">
      <c r="G215" t="e">
        <f t="shared" si="7"/>
        <v>#VALUE!</v>
      </c>
      <c r="H215">
        <v>7</v>
      </c>
      <c r="I215" t="s">
        <v>304</v>
      </c>
      <c r="M215">
        <v>8</v>
      </c>
      <c r="N215">
        <v>11540047.508300001</v>
      </c>
      <c r="O215">
        <v>141027.09770000001</v>
      </c>
      <c r="Q215">
        <v>7</v>
      </c>
      <c r="R215" t="s">
        <v>304</v>
      </c>
      <c r="V215">
        <v>8</v>
      </c>
      <c r="W215" t="s">
        <v>902</v>
      </c>
      <c r="X215" t="s">
        <v>903</v>
      </c>
    </row>
    <row r="216" spans="1:24" x14ac:dyDescent="0.25">
      <c r="G216" t="e">
        <f t="shared" si="7"/>
        <v>#VALUE!</v>
      </c>
      <c r="H216">
        <v>8</v>
      </c>
      <c r="I216" t="s">
        <v>304</v>
      </c>
      <c r="M216">
        <v>9</v>
      </c>
      <c r="N216">
        <v>11545715.7995</v>
      </c>
      <c r="O216">
        <v>141473.622699998</v>
      </c>
      <c r="Q216">
        <v>8</v>
      </c>
      <c r="R216" t="s">
        <v>304</v>
      </c>
      <c r="V216">
        <v>9</v>
      </c>
      <c r="W216" t="s">
        <v>904</v>
      </c>
      <c r="X216" t="s">
        <v>905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Bus Data</vt:lpstr>
      <vt:lpstr>ClassMapping</vt:lpstr>
      <vt:lpstr>ChemicalClass</vt:lpstr>
      <vt:lpstr>Sheet1</vt:lpstr>
      <vt:lpstr>Load Data</vt:lpstr>
      <vt:lpstr>Bus Max</vt:lpstr>
      <vt:lpstr>Branch Data</vt:lpstr>
      <vt:lpstr>Gen Data</vt:lpstr>
      <vt:lpstr>Bus Coord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John Atherton</cp:lastModifiedBy>
  <dcterms:created xsi:type="dcterms:W3CDTF">2017-06-21T01:57:49Z</dcterms:created>
  <dcterms:modified xsi:type="dcterms:W3CDTF">2017-10-12T07:28:16Z</dcterms:modified>
</cp:coreProperties>
</file>